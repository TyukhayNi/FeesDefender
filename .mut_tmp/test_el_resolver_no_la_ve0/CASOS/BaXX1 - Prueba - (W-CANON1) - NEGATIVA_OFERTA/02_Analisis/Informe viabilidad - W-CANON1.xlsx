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" sheetId="1" state="visible" r:id="rId1"/>
    <sheet xmlns:r="http://schemas.openxmlformats.org/officeDocument/2006/relationships"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9"/>
    </font>
    <font>
      <name val="Calibri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EEAF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BB1D8"/>
      </left>
      <right style="thin">
        <color rgb="009BB1D8"/>
      </right>
      <top style="thin">
        <color rgb="009BB1D8"/>
      </top>
      <bottom style="thin">
        <color rgb="009BB1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164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22" customWidth="1" min="3" max="3"/>
    <col width="14" customWidth="1" min="4" max="4"/>
    <col width="50" customWidth="1" min="5" max="5"/>
    <col width="2" customWidth="1" min="6" max="6"/>
  </cols>
  <sheetData>
    <row r="1" ht="24" customHeight="1">
      <c r="B1" s="1" t="inlineStr">
        <is>
          <t>INFORME DE VIABILIDAD</t>
        </is>
      </c>
    </row>
    <row r="2" ht="20" customHeight="1">
      <c r="B2" s="2" t="inlineStr">
        <is>
          <t>REF</t>
        </is>
      </c>
      <c r="C2" s="3" t="inlineStr"/>
      <c r="D2" s="4" t="n"/>
      <c r="E2" s="4" t="n"/>
    </row>
    <row r="3" ht="20" customHeight="1">
      <c r="B3" s="2" t="inlineStr">
        <is>
          <t>FECHA</t>
        </is>
      </c>
      <c r="C3" s="5" t="n">
        <v>46267</v>
      </c>
      <c r="D3" s="4" t="n"/>
      <c r="E3" s="4" t="n"/>
    </row>
    <row r="5" ht="24" customHeight="1">
      <c r="B5" s="1" t="inlineStr">
        <is>
          <t>EQUIPO COMERCIAL</t>
        </is>
      </c>
    </row>
    <row r="6" ht="20" customHeight="1">
      <c r="B6" s="2" t="inlineStr">
        <is>
          <t>DIRECTOR CAPTADOR</t>
        </is>
      </c>
      <c r="C6" s="3" t="inlineStr"/>
      <c r="D6" s="4" t="n"/>
      <c r="E6" s="4" t="n"/>
    </row>
    <row r="7" ht="20" customHeight="1">
      <c r="B7" s="2" t="inlineStr">
        <is>
          <t>ASESOR CAPTADOR</t>
        </is>
      </c>
      <c r="C7" s="3" t="inlineStr"/>
      <c r="D7" s="4" t="n"/>
      <c r="E7" s="4" t="n"/>
    </row>
    <row r="8" ht="20" customHeight="1">
      <c r="B8" s="2" t="inlineStr">
        <is>
          <t>DIRECTOR BUSCADOR</t>
        </is>
      </c>
      <c r="C8" s="3" t="inlineStr"/>
      <c r="D8" s="4" t="n"/>
      <c r="E8" s="4" t="n"/>
    </row>
    <row r="9" ht="20" customHeight="1">
      <c r="B9" s="2" t="inlineStr">
        <is>
          <t>ASESOR BUSCADOR</t>
        </is>
      </c>
      <c r="C9" s="3" t="inlineStr"/>
      <c r="D9" s="4" t="n"/>
      <c r="E9" s="4" t="n"/>
    </row>
    <row r="11" ht="24" customHeight="1">
      <c r="B11" s="1" t="inlineStr">
        <is>
          <t>CONTEXTO</t>
        </is>
      </c>
    </row>
    <row r="12" ht="50" customHeight="1">
      <c r="B12" s="2" t="inlineStr">
        <is>
          <t>OBSERVACIONES</t>
        </is>
      </c>
      <c r="C12" s="3" t="inlineStr"/>
      <c r="D12" s="4" t="n"/>
      <c r="E12" s="4" t="n"/>
    </row>
    <row r="13" ht="50" customHeight="1">
      <c r="B13" s="2" t="inlineStr">
        <is>
          <t>MOTIVOS DE IMPAGO</t>
        </is>
      </c>
      <c r="C13" s="3" t="inlineStr"/>
      <c r="D13" s="4" t="n"/>
      <c r="E13" s="4" t="n"/>
    </row>
    <row r="15" ht="24" customHeight="1">
      <c r="B15" s="1" t="inlineStr">
        <is>
          <t>IMPORTES</t>
        </is>
      </c>
    </row>
    <row r="16" ht="20" customHeight="1">
      <c r="B16" s="2" t="inlineStr">
        <is>
          <t>PRECIO</t>
        </is>
      </c>
      <c r="C16" s="6" t="inlineStr"/>
      <c r="D16" s="4" t="n"/>
      <c r="E16" s="4" t="n"/>
    </row>
    <row r="17" ht="20" customHeight="1">
      <c r="B17" s="2" t="inlineStr">
        <is>
          <t>% HONORARIOS</t>
        </is>
      </c>
      <c r="C17" s="6" t="n">
        <v>5</v>
      </c>
      <c r="D17" s="4" t="n"/>
      <c r="E17" s="4" t="n"/>
    </row>
    <row r="18" ht="20" customHeight="1">
      <c r="B18" s="2" t="inlineStr">
        <is>
          <t>TOTAL HONORARIOS (con IVA 21%)</t>
        </is>
      </c>
      <c r="C18" s="6">
        <f>C16/100*C17*1.21</f>
        <v/>
      </c>
      <c r="D18" s="4" t="n"/>
      <c r="E18" s="4" t="n"/>
    </row>
    <row r="19" ht="20" customHeight="1">
      <c r="B19" s="2" t="inlineStr">
        <is>
          <t>PAGOS PARCIALES</t>
        </is>
      </c>
      <c r="C19" s="6" t="n">
        <v>0</v>
      </c>
      <c r="D19" s="4" t="n"/>
      <c r="E19" s="4" t="n"/>
    </row>
    <row r="20" ht="20" customHeight="1">
      <c r="B20" s="2" t="inlineStr">
        <is>
          <t>TOTAL DEUDA</t>
        </is>
      </c>
      <c r="C20" s="6">
        <f>C18-C19</f>
        <v/>
      </c>
      <c r="D20" s="4" t="n"/>
      <c r="E20" s="4" t="n"/>
    </row>
    <row r="21" ht="20" customHeight="1">
      <c r="B21" s="2" t="inlineStr">
        <is>
          <t>PROPUESTA DE PAGO</t>
        </is>
      </c>
      <c r="C21" s="6" t="inlineStr"/>
      <c r="D21" s="4" t="n"/>
      <c r="E21" s="4" t="n"/>
    </row>
    <row r="22" ht="20" customHeight="1">
      <c r="B22" s="2" t="inlineStr">
        <is>
          <t>DIFERENCIA</t>
        </is>
      </c>
      <c r="C22" s="6">
        <f>C20-C21</f>
        <v/>
      </c>
      <c r="D22" s="4" t="n"/>
      <c r="E22" s="4" t="n"/>
    </row>
    <row r="24" ht="24" customHeight="1">
      <c r="B24" s="1" t="inlineStr">
        <is>
          <t>VIABILIDAD</t>
        </is>
      </c>
    </row>
    <row r="25" ht="42" customHeight="1">
      <c r="B25" s="7" t="inlineStr">
        <is>
          <t>Tres dimensiones evaluadas por el abogado con criterio jurídico.
El TOTAL del bloque DATOS OPERACIÓN es entrada auxiliar, no salida automática.</t>
        </is>
      </c>
    </row>
    <row r="26" ht="22" customHeight="1">
      <c r="B26" s="2" t="inlineStr">
        <is>
          <t>JURÍDICA</t>
        </is>
      </c>
      <c r="C26" s="8" t="inlineStr">
        <is>
          <t>pendiente</t>
        </is>
      </c>
      <c r="D26" s="4" t="n"/>
      <c r="E26" s="4" t="n"/>
    </row>
    <row r="27" ht="22" customHeight="1">
      <c r="B27" s="2" t="inlineStr">
        <is>
          <t>FINANZAS</t>
        </is>
      </c>
      <c r="C27" s="8" t="inlineStr">
        <is>
          <t>pendiente</t>
        </is>
      </c>
      <c r="D27" s="4" t="n"/>
      <c r="E27" s="4" t="n"/>
    </row>
    <row r="28" ht="22" customHeight="1">
      <c r="B28" s="2" t="inlineStr">
        <is>
          <t>GLOBAL</t>
        </is>
      </c>
      <c r="C28" s="8" t="inlineStr">
        <is>
          <t>pendiente</t>
        </is>
      </c>
      <c r="D28" s="4" t="n"/>
      <c r="E28" s="4" t="n"/>
    </row>
    <row r="30" ht="24" customHeight="1">
      <c r="B30" s="1" t="inlineStr">
        <is>
          <t>DATOS OPERACIÓN</t>
        </is>
      </c>
    </row>
    <row r="31" ht="60" customHeight="1">
      <c r="B31" s="7" t="inlineStr">
        <is>
          <t>Tabla de checks documentales rellenada inicialmente por la
Administración (revisión del Drive E&amp;V + CRM). Cada hito tiene
SCORE + FECHA + OBSERVACIONES. El TOTAL = SUM(scores no-N/A) es
una métrica auxiliar de robustez documental.</t>
        </is>
      </c>
    </row>
    <row r="32" ht="22" customHeight="1">
      <c r="B32" s="9" t="inlineStr">
        <is>
          <t>HITO</t>
        </is>
      </c>
      <c r="C32" s="9" t="inlineStr">
        <is>
          <t>SCORE</t>
        </is>
      </c>
      <c r="D32" s="9" t="inlineStr">
        <is>
          <t>FECHA</t>
        </is>
      </c>
      <c r="E32" s="9" t="inlineStr">
        <is>
          <t>OBSERVACIONES</t>
        </is>
      </c>
    </row>
    <row r="33" ht="26" customHeight="1">
      <c r="B33" s="10" t="inlineStr">
        <is>
          <t>CUANTÍA</t>
        </is>
      </c>
      <c r="C33" s="11">
        <f>IF(C20&lt;=10000,1,IF(C20&lt;=20000,2,3))</f>
        <v/>
      </c>
      <c r="D33" s="8" t="n"/>
      <c r="E33" s="3" t="n"/>
    </row>
    <row r="34" ht="26" customHeight="1">
      <c r="B34" s="10" t="inlineStr">
        <is>
          <t>ENCARGO</t>
        </is>
      </c>
      <c r="C34" s="11" t="inlineStr"/>
      <c r="D34" s="12" t="n"/>
      <c r="E34" s="3" t="n"/>
    </row>
    <row r="35" ht="26" customHeight="1">
      <c r="B35" s="10" t="inlineStr">
        <is>
          <t>IDENTIFICACIÓN PROPIETARIO</t>
        </is>
      </c>
      <c r="C35" s="11" t="inlineStr"/>
      <c r="D35" s="8" t="n"/>
      <c r="E35" s="3" t="n"/>
    </row>
    <row r="36" ht="26" customHeight="1">
      <c r="B36" s="10" t="inlineStr">
        <is>
          <t>TITULARIDAD</t>
        </is>
      </c>
      <c r="C36" s="11" t="inlineStr"/>
      <c r="D36" s="12" t="n"/>
      <c r="E36" s="3" t="n"/>
    </row>
    <row r="37" ht="26" customHeight="1">
      <c r="B37" s="10" t="inlineStr">
        <is>
          <t>HOJA DE VISITA</t>
        </is>
      </c>
      <c r="C37" s="11" t="inlineStr"/>
      <c r="D37" s="12" t="n"/>
      <c r="E37" s="3" t="n"/>
    </row>
    <row r="38" ht="26" customHeight="1">
      <c r="B38" s="10" t="inlineStr">
        <is>
          <t>OFERTA</t>
        </is>
      </c>
      <c r="C38" s="11" t="inlineStr"/>
      <c r="D38" s="12" t="n"/>
      <c r="E38" s="3" t="n"/>
    </row>
    <row r="39" ht="26" customHeight="1">
      <c r="B39" s="10" t="inlineStr">
        <is>
          <t>IDENTIFICACIÓN BUSCADOR</t>
        </is>
      </c>
      <c r="C39" s="11" t="inlineStr"/>
      <c r="D39" s="8" t="n"/>
      <c r="E39" s="3" t="n"/>
    </row>
    <row r="40" ht="26" customHeight="1">
      <c r="B40" s="10" t="inlineStr">
        <is>
          <t>ARRAS / ARRENDAMIENTO</t>
        </is>
      </c>
      <c r="C40" s="11" t="inlineStr"/>
      <c r="D40" s="12" t="n"/>
      <c r="E40" s="3" t="n"/>
    </row>
    <row r="41" ht="26" customHeight="1">
      <c r="B41" s="10" t="inlineStr">
        <is>
          <t>RECONOCIMIENTO HONORARIOS — ARRAS</t>
        </is>
      </c>
      <c r="C41" s="11" t="inlineStr"/>
      <c r="D41" s="12" t="n"/>
      <c r="E41" s="3" t="n"/>
    </row>
    <row r="42" ht="26" customHeight="1">
      <c r="B42" s="10" t="inlineStr">
        <is>
          <t>ESCRITURA</t>
        </is>
      </c>
      <c r="C42" s="11" t="inlineStr"/>
      <c r="D42" s="12" t="n"/>
      <c r="E42" s="3" t="n"/>
    </row>
    <row r="43" ht="26" customHeight="1">
      <c r="B43" s="10" t="inlineStr">
        <is>
          <t>RECONOCIMIENTO HONORARIOS — ESCRITURA</t>
        </is>
      </c>
      <c r="C43" s="11" t="inlineStr"/>
      <c r="D43" s="12" t="n"/>
      <c r="E43" s="3" t="n"/>
    </row>
    <row r="44" ht="26" customHeight="1">
      <c r="B44" s="10" t="inlineStr">
        <is>
          <t>RECLAMACIÓN FINANZAS</t>
        </is>
      </c>
      <c r="C44" s="11" t="inlineStr"/>
      <c r="D44" s="12" t="n"/>
      <c r="E44" s="3" t="n"/>
    </row>
    <row r="45" ht="26" customHeight="1">
      <c r="B45" s="10" t="inlineStr">
        <is>
          <t>RECLAMACIÓN JURÍDICO</t>
        </is>
      </c>
      <c r="C45" s="11" t="inlineStr"/>
      <c r="D45" s="12" t="n"/>
      <c r="E45" s="3" t="n"/>
    </row>
    <row r="46" ht="26" customHeight="1">
      <c r="B46" s="10" t="inlineStr">
        <is>
          <t>RESPUESTA A LA RECLAMACIÓN</t>
        </is>
      </c>
      <c r="C46" s="11" t="inlineStr"/>
      <c r="D46" s="12" t="n"/>
      <c r="E46" s="3" t="n"/>
    </row>
    <row r="47" ht="26" customHeight="1">
      <c r="B47" s="10" t="inlineStr">
        <is>
          <t>OFERTA VINCULANTE CONFIDENCIAL</t>
        </is>
      </c>
      <c r="C47" s="11" t="inlineStr"/>
      <c r="D47" s="12" t="n"/>
      <c r="E47" s="3" t="n"/>
    </row>
    <row r="48" ht="24" customHeight="1">
      <c r="B48" s="13" t="inlineStr">
        <is>
          <t>TOTAL</t>
        </is>
      </c>
      <c r="C48" s="14">
        <f>SUM(C33:C47)</f>
        <v/>
      </c>
      <c r="D48" s="15" t="n"/>
      <c r="E48" s="15" t="n"/>
    </row>
    <row r="50" ht="24" customHeight="1">
      <c r="B50" s="1" t="inlineStr">
        <is>
          <t>ACTIVIDADES</t>
        </is>
      </c>
    </row>
    <row r="51" ht="23" customHeight="1">
      <c r="B51" s="7" t="inlineStr">
        <is>
          <t>Métricas cuantitativas de la actividad mediadora.</t>
        </is>
      </c>
    </row>
    <row r="52" ht="20" customHeight="1">
      <c r="B52" s="2" t="inlineStr">
        <is>
          <t>EXPOSÉS — PROPIEDAD</t>
        </is>
      </c>
      <c r="C52" s="6" t="inlineStr"/>
      <c r="D52" s="4" t="n"/>
      <c r="E52" s="4" t="n"/>
    </row>
    <row r="53" ht="20" customHeight="1">
      <c r="B53" s="2" t="inlineStr">
        <is>
          <t>VISITAS — PROPIEDAD</t>
        </is>
      </c>
      <c r="C53" s="6" t="inlineStr"/>
      <c r="D53" s="4" t="n"/>
      <c r="E53" s="4" t="n"/>
    </row>
    <row r="54" ht="20" customHeight="1">
      <c r="B54" s="2" t="inlineStr">
        <is>
          <t>EXPOSÉS — BUSCADOR</t>
        </is>
      </c>
      <c r="C54" s="6" t="inlineStr"/>
      <c r="D54" s="4" t="n"/>
      <c r="E54" s="4" t="n"/>
    </row>
    <row r="55" ht="20" customHeight="1">
      <c r="B55" s="2" t="inlineStr">
        <is>
          <t>VISITAS — BUSCADOR</t>
        </is>
      </c>
      <c r="C55" s="6" t="inlineStr"/>
      <c r="D55" s="4" t="n"/>
      <c r="E55" s="4" t="n"/>
    </row>
  </sheetData>
  <mergeCells count="10">
    <mergeCell ref="B31:E31"/>
    <mergeCell ref="B1:E1"/>
    <mergeCell ref="B50:E50"/>
    <mergeCell ref="B30:E30"/>
    <mergeCell ref="B15:E15"/>
    <mergeCell ref="B11:E11"/>
    <mergeCell ref="B25:E25"/>
    <mergeCell ref="B24:E24"/>
    <mergeCell ref="B5:E5"/>
    <mergeCell ref="B51:E51"/>
  </mergeCells>
  <conditionalFormatting sqref="C26:C28">
    <cfRule type="cellIs" priority="1" operator="equal" dxfId="0" stopIfTrue="0">
      <formula>"verde"</formula>
    </cfRule>
    <cfRule type="cellIs" priority="2" operator="equal" dxfId="1" stopIfTrue="0">
      <formula>"amarillo"</formula>
    </cfRule>
    <cfRule type="cellIs" priority="3" operator="equal" dxfId="2" stopIfTrue="0">
      <formula>"rojo"</formula>
    </cfRule>
    <cfRule type="cellIs" priority="4" operator="equal" dxfId="3" stopIfTrue="0">
      <formula>"pendiente"</formula>
    </cfRule>
  </conditionalFormatting>
  <dataValidations count="17">
    <dataValidation sqref="C26" showDropDown="0" showInputMessage="0" showErrorMessage="0" allowBlank="1" type="list">
      <formula1>"verde,amarillo,rojo,pendiente"</formula1>
    </dataValidation>
    <dataValidation sqref="C27" showDropDown="0" showInputMessage="0" showErrorMessage="0" allowBlank="1" type="list">
      <formula1>"verde,amarillo,rojo,pendiente"</formula1>
    </dataValidation>
    <dataValidation sqref="C28" showDropDown="0" showInputMessage="0" showErrorMessage="0" allowBlank="1" type="list">
      <formula1>"verde,amarillo,rojo,pendiente"</formula1>
    </dataValidation>
    <dataValidation sqref="C34" showDropDown="0" showInputMessage="0" showErrorMessage="0" allowBlank="1" type="list">
      <formula1>"0,1,2,3,N/A"</formula1>
    </dataValidation>
    <dataValidation sqref="C35" showDropDown="0" showInputMessage="0" showErrorMessage="0" allowBlank="1" type="list">
      <formula1>"0,1,2,3,N/A"</formula1>
    </dataValidation>
    <dataValidation sqref="C36" showDropDown="0" showInputMessage="0" showErrorMessage="0" allowBlank="1" type="list">
      <formula1>"0,1,2,3,N/A"</formula1>
    </dataValidation>
    <dataValidation sqref="C37" showDropDown="0" showInputMessage="0" showErrorMessage="0" allowBlank="1" type="list">
      <formula1>"0,1,2,3,N/A"</formula1>
    </dataValidation>
    <dataValidation sqref="C38" showDropDown="0" showInputMessage="0" showErrorMessage="0" allowBlank="1" type="list">
      <formula1>"0,1,2,3,N/A"</formula1>
    </dataValidation>
    <dataValidation sqref="C39" showDropDown="0" showInputMessage="0" showErrorMessage="0" allowBlank="1" type="list">
      <formula1>"0,1,2,3,N/A"</formula1>
    </dataValidation>
    <dataValidation sqref="C40" showDropDown="0" showInputMessage="0" showErrorMessage="0" allowBlank="1" type="list">
      <formula1>"0,1,2,3,N/A"</formula1>
    </dataValidation>
    <dataValidation sqref="C41" showDropDown="0" showInputMessage="0" showErrorMessage="0" allowBlank="1" type="list">
      <formula1>"0,1,2,3,N/A"</formula1>
    </dataValidation>
    <dataValidation sqref="C42" showDropDown="0" showInputMessage="0" showErrorMessage="0" allowBlank="1" type="list">
      <formula1>"0,1,2,3,N/A"</formula1>
    </dataValidation>
    <dataValidation sqref="C43" showDropDown="0" showInputMessage="0" showErrorMessage="0" allowBlank="1" type="list">
      <formula1>"0,1,2,3,N/A"</formula1>
    </dataValidation>
    <dataValidation sqref="C44" showDropDown="0" showInputMessage="0" showErrorMessage="0" allowBlank="1" type="list">
      <formula1>"0,1,2,3,N/A"</formula1>
    </dataValidation>
    <dataValidation sqref="C45" showDropDown="0" showInputMessage="0" showErrorMessage="0" allowBlank="1" type="list">
      <formula1>"0,1,2,3,N/A"</formula1>
    </dataValidation>
    <dataValidation sqref="C46" showDropDown="0" showInputMessage="0" showErrorMessage="0" allowBlank="1" type="list">
      <formula1>"0,1,2,3,N/A"</formula1>
    </dataValidation>
    <dataValidation sqref="C47" showDropDown="0" showInputMessage="0" showErrorMessage="0" allowBlank="1" type="list">
      <formula1>"0,1,2,3,N/A"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n">
        <v>1</v>
      </c>
    </row>
    <row r="2">
      <c r="A2" t="inlineStr">
        <is>
          <t>ultima_actualizacion</t>
        </is>
      </c>
      <c r="B2" t="inlineStr">
        <is>
          <t>2026-05-08</t>
        </is>
      </c>
    </row>
    <row r="3">
      <c r="A3" t="inlineStr">
        <is>
          <t>referencia_origen</t>
        </is>
      </c>
    </row>
    <row r="4">
      <c r="A4" t="inlineStr">
        <is>
          <t>yaml_sha256_16</t>
        </is>
      </c>
      <c r="B4" t="inlineStr">
        <is>
          <t>367af1c391e61160</t>
        </is>
      </c>
    </row>
    <row r="5">
      <c r="A5" t="inlineStr">
        <is>
          <t>generado</t>
        </is>
      </c>
      <c r="B5" t="inlineStr">
        <is>
          <t>2026-05-08T14:55:58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2026-05-08T12:55:58Z</dcterms:created>
  <dcterms:modified xmlns:dcterms="http://purl.org/dc/terms/" xmlns:xsi="http://www.w3.org/2001/XMLSchema-instance" xsi:type="dcterms:W3CDTF">2026-09-02T10:00:20Z</dcterms:modified>
</cp:coreProperties>
</file>