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20" yWindow="-16320" windowWidth="29040" windowHeight="15720" tabRatio="600" firstSheet="0" activeTab="0" autoFilterDateGrouping="1"/>
  </bookViews>
  <sheets>
    <sheet xmlns:r="http://schemas.openxmlformats.org/officeDocument/2006/relationships" name="INFORMACIO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AVISOS LLM" sheetId="3" state="visible" r:id="rId3"/>
    <sheet xmlns:r="http://schemas.openxmlformats.org/officeDocument/2006/relationships" name="BITACORA" sheetId="4" state="visible" r:id="rId4"/>
  </sheets>
  <definedNames>
    <definedName name="_xlnm._FilterDatabase" localSheetId="1" hidden="1">'PREGUNTAS'!$B$3:$M$88</definedName>
    <definedName name="_xlnm._FilterDatabase" localSheetId="2" hidden="1">'AVISOS LLM'!$B$3:$J$10</definedName>
    <definedName name="_xlnm._FilterDatabase" localSheetId="3" hidden="1">'BITACORA'!$B$3:$G$10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\ [$€-C0A]_-;\-* #,##0.00\ [$€-C0A]_-;_-* &quot;-&quot;??\ [$€-C0A]_-;_-@"/>
    <numFmt numFmtId="165" formatCode="_-* #,##0.00\ &quot;€&quot;_-;\-* #,##0.00\ &quot;€&quot;_-;_-* &quot;-&quot;??\ &quot;€&quot;_-;_-@"/>
    <numFmt numFmtId="166" formatCode="d/m/yyyy"/>
    <numFmt numFmtId="167" formatCode="mm/dd/yyyy"/>
  </numFmts>
  <fonts count="14">
    <font>
      <name val="Calibri"/>
      <color theme="1"/>
      <sz val="11"/>
      <scheme val="minor"/>
    </font>
    <font>
      <name val="Arial"/>
      <color theme="1"/>
      <sz val="8"/>
    </font>
    <font>
      <name val="Arial"/>
      <b val="1"/>
      <color theme="1"/>
      <sz val="8"/>
    </font>
    <font>
      <name val="Open Sans"/>
      <color rgb="FF1C5180"/>
      <sz val="11"/>
    </font>
    <font>
      <name val="Arial"/>
      <b val="1"/>
      <i val="1"/>
      <color theme="1"/>
      <sz val="8"/>
    </font>
    <font>
      <name val="Calibri"/>
      <color theme="1"/>
      <sz val="11"/>
    </font>
    <font>
      <name val="Calibri"/>
      <b val="1"/>
      <sz val="11"/>
    </font>
    <font>
      <name val="Arial"/>
      <family val="2"/>
      <color theme="1"/>
      <sz val="8"/>
    </font>
    <font>
      <name val="Arial"/>
      <family val="2"/>
      <b val="1"/>
      <color theme="1"/>
      <sz val="8"/>
    </font>
    <font>
      <b val="1"/>
      <color rgb="00FFFFFF"/>
    </font>
    <font>
      <i val="1"/>
      <color rgb="009C5700"/>
      <sz val="9"/>
    </font>
    <font>
      <b val="1"/>
    </font>
    <font>
      <i val="1"/>
      <color rgb="00595959"/>
      <sz val="8"/>
    </font>
    <font>
      <b val="1"/>
      <color rgb="001F3864"/>
    </font>
  </fonts>
  <fills count="19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indexed="64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DCE5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8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ck"/>
      <right/>
      <top style="thick"/>
      <bottom/>
    </border>
    <border>
      <left/>
      <right/>
      <top style="thick"/>
      <bottom/>
    </border>
    <border>
      <left/>
      <right style="thick"/>
      <top style="thick"/>
      <bottom/>
    </border>
    <border>
      <left style="thick"/>
      <right/>
      <top/>
      <bottom/>
    </border>
    <border>
      <left/>
      <right/>
      <top/>
      <bottom/>
    </border>
    <border>
      <left/>
      <right style="thick"/>
      <top/>
      <bottom/>
    </border>
    <border>
      <left style="thick"/>
      <right/>
      <top/>
      <bottom style="thick"/>
    </border>
    <border>
      <left/>
      <right/>
      <top/>
      <bottom style="thick"/>
    </border>
    <border>
      <left/>
      <right style="thick"/>
      <top/>
      <bottom style="thick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ck"/>
      <right style="thick"/>
      <top style="thick"/>
      <bottom style="thick"/>
    </border>
    <border>
      <left/>
      <right/>
      <top style="thick"/>
      <bottom/>
      <diagonal/>
    </border>
    <border>
      <left style="thick"/>
      <right/>
      <top/>
      <bottom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 style="thick"/>
      <right/>
      <top/>
      <bottom style="thick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3"/>
  </cellStyleXfs>
  <cellXfs count="147">
    <xf numFmtId="0" fontId="0" fillId="0" borderId="0" pivotButton="0" quotePrefix="0" xfId="0"/>
    <xf numFmtId="0" fontId="1" fillId="0" borderId="0" pivotButton="0" quotePrefix="0" xfId="0"/>
    <xf numFmtId="0" fontId="2" fillId="3" borderId="3" pivotButton="0" quotePrefix="0" xfId="0"/>
    <xf numFmtId="0" fontId="3" fillId="4" borderId="3" pivotButton="0" quotePrefix="0" xfId="0"/>
    <xf numFmtId="0" fontId="4" fillId="0" borderId="0" pivotButton="0" quotePrefix="0" xfId="0"/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right"/>
    </xf>
    <xf numFmtId="0" fontId="1" fillId="0" borderId="12" applyAlignment="1" pivotButton="0" quotePrefix="0" xfId="0">
      <alignment horizontal="right"/>
    </xf>
    <xf numFmtId="164" fontId="1" fillId="0" borderId="13" pivotButton="0" quotePrefix="0" xfId="0"/>
    <xf numFmtId="0" fontId="1" fillId="0" borderId="10" pivotButton="0" quotePrefix="0" xfId="0"/>
    <xf numFmtId="0" fontId="1" fillId="0" borderId="11" pivotButton="0" quotePrefix="0" xfId="0"/>
    <xf numFmtId="0" fontId="1" fillId="0" borderId="14" pivotButton="0" quotePrefix="0" xfId="0"/>
    <xf numFmtId="165" fontId="1" fillId="0" borderId="14" applyAlignment="1" pivotButton="0" quotePrefix="0" xfId="0">
      <alignment horizontal="right"/>
    </xf>
    <xf numFmtId="0" fontId="1" fillId="0" borderId="15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right"/>
    </xf>
    <xf numFmtId="165" fontId="1" fillId="0" borderId="17" applyAlignment="1" pivotButton="0" quotePrefix="0" xfId="0">
      <alignment horizontal="right"/>
    </xf>
    <xf numFmtId="4" fontId="1" fillId="0" borderId="0" pivotButton="0" quotePrefix="0" xfId="0"/>
    <xf numFmtId="165" fontId="1" fillId="0" borderId="10" pivotButton="0" quotePrefix="0" xfId="0"/>
    <xf numFmtId="165" fontId="1" fillId="0" borderId="11" applyAlignment="1" pivotButton="0" quotePrefix="0" xfId="0">
      <alignment horizontal="right"/>
    </xf>
    <xf numFmtId="0" fontId="1" fillId="0" borderId="18" pivotButton="0" quotePrefix="0" xfId="0"/>
    <xf numFmtId="0" fontId="1" fillId="0" borderId="19" pivotButton="0" quotePrefix="0" xfId="0"/>
    <xf numFmtId="0" fontId="1" fillId="0" borderId="20" pivotButton="0" quotePrefix="0" xfId="0"/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right"/>
    </xf>
    <xf numFmtId="165" fontId="1" fillId="0" borderId="20" applyAlignment="1" pivotButton="0" quotePrefix="0" xfId="0">
      <alignment horizontal="right"/>
    </xf>
    <xf numFmtId="165" fontId="1" fillId="0" borderId="21" pivotButton="0" quotePrefix="0" xfId="0"/>
    <xf numFmtId="165" fontId="1" fillId="0" borderId="22" applyAlignment="1" pivotButton="0" quotePrefix="0" xfId="0">
      <alignment horizontal="right"/>
    </xf>
    <xf numFmtId="165" fontId="1" fillId="0" borderId="23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right"/>
    </xf>
    <xf numFmtId="166" fontId="1" fillId="0" borderId="28" applyAlignment="1" pivotButton="0" quotePrefix="0" xfId="0">
      <alignment horizontal="right"/>
    </xf>
    <xf numFmtId="0" fontId="1" fillId="0" borderId="14" applyAlignment="1" pivotButton="0" quotePrefix="0" xfId="0">
      <alignment horizontal="right"/>
    </xf>
    <xf numFmtId="166" fontId="1" fillId="0" borderId="14" applyAlignment="1" pivotButton="0" quotePrefix="0" xfId="0">
      <alignment horizontal="right"/>
    </xf>
    <xf numFmtId="167" fontId="1" fillId="0" borderId="14" applyAlignment="1" pivotButton="0" quotePrefix="0" xfId="0">
      <alignment horizontal="right"/>
    </xf>
    <xf numFmtId="0" fontId="2" fillId="5" borderId="33" applyAlignment="1" pivotButton="0" quotePrefix="0" xfId="0">
      <alignment horizontal="right"/>
    </xf>
    <xf numFmtId="166" fontId="1" fillId="0" borderId="23" applyAlignment="1" pivotButton="0" quotePrefix="0" xfId="0">
      <alignment horizontal="right"/>
    </xf>
    <xf numFmtId="0" fontId="5" fillId="0" borderId="36" pivotButton="0" quotePrefix="0" xfId="0"/>
    <xf numFmtId="0" fontId="5" fillId="0" borderId="12" pivotButton="0" quotePrefix="0" xfId="0"/>
    <xf numFmtId="0" fontId="5" fillId="0" borderId="37" pivotButton="0" quotePrefix="0" xfId="0"/>
    <xf numFmtId="0" fontId="5" fillId="0" borderId="38" pivotButton="0" quotePrefix="0" xfId="0"/>
    <xf numFmtId="0" fontId="5" fillId="0" borderId="39" pivotButton="0" quotePrefix="0" xfId="0"/>
    <xf numFmtId="0" fontId="1" fillId="0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0" borderId="49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5" borderId="51" applyAlignment="1" pivotButton="0" quotePrefix="0" xfId="0">
      <alignment horizontal="left"/>
    </xf>
    <xf numFmtId="0" fontId="0" fillId="0" borderId="24" pivotButton="0" quotePrefix="0" xfId="0"/>
    <xf numFmtId="0" fontId="0" fillId="0" borderId="25" pivotButton="0" quotePrefix="0" xfId="0"/>
    <xf numFmtId="0" fontId="1" fillId="0" borderId="10" applyAlignment="1" pivotButton="0" quotePrefix="0" xfId="0">
      <alignment horizontal="center"/>
    </xf>
    <xf numFmtId="0" fontId="0" fillId="0" borderId="29" pivotButton="0" quotePrefix="0" xfId="0"/>
    <xf numFmtId="0" fontId="1" fillId="0" borderId="46" pivotButton="0" quotePrefix="0" xfId="0"/>
    <xf numFmtId="0" fontId="0" fillId="0" borderId="6" pivotButton="0" quotePrefix="0" xfId="0"/>
    <xf numFmtId="0" fontId="0" fillId="0" borderId="7" pivotButton="0" quotePrefix="0" xfId="0"/>
    <xf numFmtId="0" fontId="1" fillId="0" borderId="52" applyAlignment="1" pivotButton="0" quotePrefix="0" xfId="0">
      <alignment horizontal="center"/>
    </xf>
    <xf numFmtId="0" fontId="0" fillId="0" borderId="26" pivotButton="0" quotePrefix="0" xfId="0"/>
    <xf numFmtId="0" fontId="1" fillId="0" borderId="46" applyAlignment="1" pivotButton="0" quotePrefix="0" xfId="0">
      <alignment horizontal="left"/>
    </xf>
    <xf numFmtId="0" fontId="1" fillId="0" borderId="7" applyAlignment="1" pivotButton="0" quotePrefix="0" xfId="0">
      <alignment horizontal="right"/>
    </xf>
    <xf numFmtId="0" fontId="2" fillId="2" borderId="51" applyAlignment="1" pivotButton="0" quotePrefix="0" xfId="0">
      <alignment horizontal="center"/>
    </xf>
    <xf numFmtId="0" fontId="2" fillId="5" borderId="53" applyAlignment="1" pivotButton="0" quotePrefix="0" xfId="0">
      <alignment horizontal="center"/>
    </xf>
    <xf numFmtId="0" fontId="0" fillId="0" borderId="32" pivotButton="0" quotePrefix="0" xfId="0"/>
    <xf numFmtId="0" fontId="1" fillId="0" borderId="50" pivotButton="0" quotePrefix="0" xfId="0"/>
    <xf numFmtId="0" fontId="0" fillId="0" borderId="8" pivotButton="0" quotePrefix="0" xfId="0"/>
    <xf numFmtId="0" fontId="0" fillId="0" borderId="9" pivotButton="0" quotePrefix="0" xfId="0"/>
    <xf numFmtId="0" fontId="1" fillId="0" borderId="46" applyAlignment="1" pivotButton="0" quotePrefix="0" xfId="0">
      <alignment horizontal="right"/>
    </xf>
    <xf numFmtId="0" fontId="1" fillId="0" borderId="21" applyAlignment="1" pivotButton="0" quotePrefix="0" xfId="0">
      <alignment horizontal="center"/>
    </xf>
    <xf numFmtId="0" fontId="0" fillId="0" borderId="27" pivotButton="0" quotePrefix="0" xfId="0"/>
    <xf numFmtId="0" fontId="1" fillId="0" borderId="49" applyAlignment="1" pivotButton="0" quotePrefix="0" xfId="0">
      <alignment horizontal="left"/>
    </xf>
    <xf numFmtId="0" fontId="1" fillId="0" borderId="47" pivotButton="0" quotePrefix="0" xfId="0"/>
    <xf numFmtId="0" fontId="0" fillId="0" borderId="30" pivotButton="0" quotePrefix="0" xfId="0"/>
    <xf numFmtId="0" fontId="0" fillId="0" borderId="31" pivotButton="0" quotePrefix="0" xfId="0"/>
    <xf numFmtId="0" fontId="2" fillId="2" borderId="48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1" fillId="0" borderId="50" applyAlignment="1" pivotButton="0" quotePrefix="0" xfId="0">
      <alignment horizontal="right"/>
    </xf>
    <xf numFmtId="0" fontId="0" fillId="0" borderId="34" pivotButton="0" quotePrefix="0" xfId="0"/>
    <xf numFmtId="0" fontId="0" fillId="0" borderId="35" pivotButton="0" quotePrefix="0" xfId="0"/>
    <xf numFmtId="0" fontId="1" fillId="0" borderId="21" pivotButton="0" quotePrefix="0" xfId="0"/>
    <xf numFmtId="0" fontId="1" fillId="0" borderId="22" pivotButton="0" quotePrefix="0" xfId="0"/>
    <xf numFmtId="0" fontId="1" fillId="0" borderId="52" pivotButton="0" quotePrefix="0" xfId="0"/>
    <xf numFmtId="0" fontId="1" fillId="0" borderId="23" pivotButton="0" quotePrefix="0" xfId="0"/>
    <xf numFmtId="0" fontId="1" fillId="0" borderId="49" applyAlignment="1" pivotButton="0" quotePrefix="0" xfId="0">
      <alignment horizontal="right"/>
    </xf>
    <xf numFmtId="0" fontId="5" fillId="0" borderId="54" applyAlignment="1" pivotButton="0" quotePrefix="0" xfId="0">
      <alignment horizontal="left"/>
    </xf>
    <xf numFmtId="0" fontId="0" fillId="0" borderId="42" pivotButton="0" quotePrefix="0" xfId="0"/>
    <xf numFmtId="0" fontId="5" fillId="0" borderId="48" applyAlignment="1" pivotButton="0" quotePrefix="0" xfId="0">
      <alignment horizontal="left"/>
    </xf>
    <xf numFmtId="0" fontId="5" fillId="0" borderId="56" applyAlignment="1" pivotButton="0" quotePrefix="0" xfId="0">
      <alignment horizontal="left"/>
    </xf>
    <xf numFmtId="0" fontId="0" fillId="0" borderId="40" pivotButton="0" quotePrefix="0" xfId="0"/>
    <xf numFmtId="0" fontId="0" fillId="0" borderId="41" pivotButton="0" quotePrefix="0" xfId="0"/>
    <xf numFmtId="0" fontId="5" fillId="0" borderId="54" applyAlignment="1" pivotButton="0" quotePrefix="0" xfId="0">
      <alignment horizontal="center"/>
    </xf>
    <xf numFmtId="0" fontId="5" fillId="0" borderId="57" applyAlignment="1" pivotButton="0" quotePrefix="0" xfId="0">
      <alignment horizontal="left"/>
    </xf>
    <xf numFmtId="0" fontId="5" fillId="0" borderId="55" applyAlignment="1" pivotButton="0" quotePrefix="0" xfId="0">
      <alignment horizontal="left"/>
    </xf>
    <xf numFmtId="0" fontId="0" fillId="0" borderId="43" pivotButton="0" quotePrefix="0" xfId="0"/>
    <xf numFmtId="0" fontId="0" fillId="0" borderId="44" pivotButton="0" quotePrefix="0" xfId="0"/>
    <xf numFmtId="0" fontId="5" fillId="2" borderId="51" applyAlignment="1" pivotButton="0" quotePrefix="0" xfId="0">
      <alignment horizontal="center"/>
    </xf>
    <xf numFmtId="0" fontId="5" fillId="6" borderId="51" applyAlignment="1" pivotButton="0" quotePrefix="0" xfId="0">
      <alignment horizontal="center"/>
    </xf>
    <xf numFmtId="0" fontId="5" fillId="0" borderId="58" applyAlignment="1" pivotButton="0" quotePrefix="0" xfId="0">
      <alignment horizontal="left"/>
    </xf>
    <xf numFmtId="0" fontId="0" fillId="0" borderId="45" pivotButton="0" quotePrefix="0" xfId="0"/>
    <xf numFmtId="0" fontId="0" fillId="0" borderId="4" applyAlignment="1" pivotButton="0" quotePrefix="0" xfId="0">
      <alignment horizontal="right"/>
    </xf>
    <xf numFmtId="0" fontId="0" fillId="0" borderId="5" applyAlignment="1" pivotButton="0" quotePrefix="0" xfId="0">
      <alignment horizontal="right"/>
    </xf>
    <xf numFmtId="0" fontId="1" fillId="7" borderId="28" applyAlignment="1" pivotButton="0" quotePrefix="0" xfId="0">
      <alignment horizontal="center"/>
    </xf>
    <xf numFmtId="0" fontId="0" fillId="8" borderId="4" pivotButton="0" quotePrefix="0" xfId="0"/>
    <xf numFmtId="0" fontId="0" fillId="8" borderId="5" pivotButton="0" quotePrefix="0" xfId="0"/>
    <xf numFmtId="14" fontId="1" fillId="0" borderId="23" applyAlignment="1" pivotButton="0" quotePrefix="0" xfId="0">
      <alignment horizontal="right"/>
    </xf>
    <xf numFmtId="14" fontId="1" fillId="0" borderId="14" applyAlignment="1" pivotButton="0" quotePrefix="0" xfId="0">
      <alignment horizontal="right"/>
    </xf>
    <xf numFmtId="0" fontId="7" fillId="0" borderId="34" applyAlignment="1" pivotButton="0" quotePrefix="0" xfId="0">
      <alignment horizontal="left" vertical="top" wrapText="1"/>
    </xf>
    <xf numFmtId="0" fontId="7" fillId="0" borderId="3" applyAlignment="1" pivotButton="0" quotePrefix="0" xfId="0">
      <alignment horizontal="left" vertical="top" wrapText="1"/>
    </xf>
    <xf numFmtId="0" fontId="7" fillId="0" borderId="65" applyAlignment="1" pivotButton="0" quotePrefix="0" xfId="0">
      <alignment horizontal="left" vertical="top" wrapText="1"/>
    </xf>
    <xf numFmtId="0" fontId="0" fillId="0" borderId="66" pivotButton="0" quotePrefix="0" xfId="0"/>
    <xf numFmtId="0" fontId="0" fillId="0" borderId="67" pivotButton="0" quotePrefix="0" xfId="0"/>
    <xf numFmtId="0" fontId="0" fillId="0" borderId="68" pivotButton="0" quotePrefix="0" xfId="0"/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0" borderId="72" pivotButton="0" quotePrefix="0" xfId="0"/>
    <xf numFmtId="0" fontId="0" fillId="0" borderId="73" pivotButton="0" quotePrefix="0" xfId="0"/>
    <xf numFmtId="0" fontId="9" fillId="9" borderId="0" applyAlignment="1" pivotButton="0" quotePrefix="0" xfId="0">
      <alignment horizontal="center"/>
    </xf>
    <xf numFmtId="0" fontId="10" fillId="0" borderId="0" pivotButton="0" quotePrefix="0" xfId="0"/>
    <xf numFmtId="0" fontId="11" fillId="10" borderId="74" applyAlignment="1" pivotButton="0" quotePrefix="0" xfId="0">
      <alignment vertical="top" wrapText="1"/>
    </xf>
    <xf numFmtId="0" fontId="11" fillId="12" borderId="74" applyAlignment="1" pivotButton="0" quotePrefix="0" xfId="0">
      <alignment vertical="top" wrapText="1"/>
    </xf>
    <xf numFmtId="0" fontId="11" fillId="11" borderId="74" applyAlignment="1" pivotButton="0" quotePrefix="0" xfId="0">
      <alignment vertical="top" wrapText="1"/>
    </xf>
    <xf numFmtId="0" fontId="12" fillId="0" borderId="74" applyAlignment="1" pivotButton="0" quotePrefix="0" xfId="0">
      <alignment vertical="top" wrapText="1"/>
    </xf>
    <xf numFmtId="0" fontId="13" fillId="13" borderId="0" pivotButton="0" quotePrefix="0" xfId="0"/>
    <xf numFmtId="0" fontId="0" fillId="14" borderId="74" applyAlignment="1" pivotButton="0" quotePrefix="0" xfId="0">
      <alignment vertical="top" wrapText="1"/>
    </xf>
    <xf numFmtId="0" fontId="0" fillId="12" borderId="74" applyAlignment="1" applyProtection="1" pivotButton="0" quotePrefix="0" xfId="0">
      <alignment vertical="top" wrapText="1"/>
      <protection locked="0" hidden="0"/>
    </xf>
    <xf numFmtId="0" fontId="0" fillId="14" borderId="74" applyAlignment="1" applyProtection="1" pivotButton="0" quotePrefix="0" xfId="0">
      <alignment vertical="top" wrapText="1"/>
      <protection locked="0" hidden="0"/>
    </xf>
    <xf numFmtId="0" fontId="0" fillId="0" borderId="74" applyAlignment="1" pivotButton="0" quotePrefix="0" xfId="0">
      <alignment vertical="top" wrapText="1"/>
    </xf>
    <xf numFmtId="0" fontId="0" fillId="0" borderId="74" applyAlignment="1" applyProtection="1" pivotButton="0" quotePrefix="0" xfId="0">
      <alignment vertical="top" wrapText="1"/>
      <protection locked="0" hidden="0"/>
    </xf>
    <xf numFmtId="0" fontId="0" fillId="15" borderId="74" applyAlignment="1" pivotButton="0" quotePrefix="0" xfId="0">
      <alignment vertical="top" wrapText="1"/>
    </xf>
    <xf numFmtId="0" fontId="0" fillId="16" borderId="74" applyAlignment="1" pivotButton="0" quotePrefix="0" xfId="0">
      <alignment vertical="top" wrapText="1"/>
    </xf>
    <xf numFmtId="0" fontId="0" fillId="17" borderId="74" applyAlignment="1" pivotButton="0" quotePrefix="0" xfId="0">
      <alignment vertical="top" wrapText="1"/>
    </xf>
    <xf numFmtId="0" fontId="0" fillId="18" borderId="74" applyAlignment="1" pivotButton="0" quotePrefix="0" xfId="0">
      <alignment vertical="top" wrapText="1"/>
    </xf>
    <xf numFmtId="0" fontId="1" fillId="0" borderId="3" pivotButton="0" quotePrefix="0" xfId="0"/>
    <xf numFmtId="0" fontId="7" fillId="0" borderId="75" applyAlignment="1" pivotButton="0" quotePrefix="0" xfId="0">
      <alignment horizontal="left" vertical="top" wrapText="1"/>
    </xf>
    <xf numFmtId="0" fontId="0" fillId="0" borderId="76" pivotButton="0" quotePrefix="0" xfId="0"/>
    <xf numFmtId="0" fontId="0" fillId="0" borderId="78" pivotButton="0" quotePrefix="0" xfId="0"/>
    <xf numFmtId="0" fontId="0" fillId="0" borderId="77" pivotButton="0" quotePrefix="0" xfId="0"/>
    <xf numFmtId="0" fontId="0" fillId="0" borderId="79" pivotButton="0" quotePrefix="0" xfId="0"/>
    <xf numFmtId="0" fontId="0" fillId="0" borderId="80" pivotButton="0" quotePrefix="0" xfId="0"/>
    <xf numFmtId="0" fontId="0" fillId="0" borderId="81" pivotButton="0" quotePrefix="0" xfId="0"/>
    <xf numFmtId="0" fontId="0" fillId="0" borderId="82" pivotButton="0" quotePrefix="0" xfId="0"/>
    <xf numFmtId="0" fontId="13" fillId="13" borderId="3" pivotButton="0" quotePrefix="0" xfId="0"/>
    <xf numFmtId="0" fontId="0" fillId="0" borderId="3" pivotButton="0" quotePrefix="0" xfId="0"/>
  </cellXfs>
  <cellStyles count="1">
    <cellStyle name="Normal" xfId="0" builtinId="0"/>
  </cellStyles>
  <dxfs count="6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5"/>
  <sheetViews>
    <sheetView tabSelected="1" topLeftCell="A44" workbookViewId="0">
      <selection activeCell="B49" sqref="B49:H93"/>
    </sheetView>
  </sheetViews>
  <sheetFormatPr baseColWidth="10" defaultColWidth="14.44140625" defaultRowHeight="15" customHeight="1"/>
  <cols>
    <col width="2.6640625" customWidth="1" min="1" max="1"/>
    <col width="9.109375" customWidth="1" min="2" max="2"/>
    <col width="16.33203125" customWidth="1" min="3" max="3"/>
    <col width="14.6640625" customWidth="1" min="4" max="4"/>
    <col width="9.5546875" customWidth="1" min="5" max="5"/>
    <col width="9.33203125" customWidth="1" min="6" max="6"/>
    <col width="3.33203125" customWidth="1" min="7" max="7"/>
    <col width="15" customWidth="1" min="8" max="8"/>
    <col width="60" customWidth="1" min="9" max="26"/>
  </cols>
  <sheetData>
    <row r="1" ht="11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1.25" customHeight="1">
      <c r="A2" s="1" t="n"/>
      <c r="B2" s="76" t="inlineStr">
        <is>
          <t xml:space="preserve">INFORME DE VIABILIAD </t>
        </is>
      </c>
      <c r="C2" s="77" t="n"/>
      <c r="D2" s="77" t="n"/>
      <c r="E2" s="77" t="n"/>
      <c r="F2" s="77" t="n"/>
      <c r="G2" s="77" t="n"/>
      <c r="H2" s="78" t="n"/>
      <c r="I2" s="2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1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1.25" customHeight="1">
      <c r="A4" s="1" t="n"/>
      <c r="B4" s="72" t="inlineStr">
        <is>
          <t>FECHA</t>
        </is>
      </c>
      <c r="C4" s="49" t="n"/>
      <c r="D4" s="50" t="n"/>
      <c r="E4" s="86" t="n"/>
      <c r="F4" s="49" t="n"/>
      <c r="G4" s="49" t="n"/>
      <c r="H4" s="50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1.25" customHeight="1">
      <c r="A5" s="1" t="n"/>
      <c r="B5" s="56" t="inlineStr">
        <is>
          <t>REF</t>
        </is>
      </c>
      <c r="C5" s="57" t="n"/>
      <c r="D5" s="58" t="n"/>
      <c r="E5" s="69" t="n"/>
      <c r="F5" s="57" t="n"/>
      <c r="G5" s="57" t="n"/>
      <c r="H5" s="58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1.25" customHeight="1">
      <c r="A6" s="1" t="n"/>
      <c r="B6" s="56" t="inlineStr">
        <is>
          <t>DIRECTOR CAPTADOR</t>
        </is>
      </c>
      <c r="C6" s="57" t="n"/>
      <c r="D6" s="58" t="n"/>
      <c r="E6" s="62" t="n"/>
      <c r="F6" s="57" t="n"/>
      <c r="G6" s="57" t="n"/>
      <c r="H6" s="58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1.25" customHeight="1">
      <c r="A7" s="1" t="n"/>
      <c r="B7" s="56" t="inlineStr">
        <is>
          <t>ASESOR CAPTADOR</t>
        </is>
      </c>
      <c r="C7" s="57" t="n"/>
      <c r="D7" s="58" t="n"/>
      <c r="E7" s="62" t="n"/>
      <c r="F7" s="57" t="n"/>
      <c r="G7" s="57" t="n"/>
      <c r="H7" s="58" t="n"/>
      <c r="I7" s="1" t="n"/>
      <c r="J7" s="3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1.25" customHeight="1">
      <c r="A8" s="1" t="n"/>
      <c r="B8" s="56" t="inlineStr">
        <is>
          <t>DIRECTOR BUSCADOR</t>
        </is>
      </c>
      <c r="C8" s="57" t="n"/>
      <c r="D8" s="58" t="n"/>
      <c r="E8" s="69" t="n"/>
      <c r="F8" s="57" t="n"/>
      <c r="G8" s="57" t="n"/>
      <c r="H8" s="58" t="n"/>
      <c r="I8" s="1" t="n"/>
      <c r="J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1.25" customHeight="1">
      <c r="A9" s="1" t="n"/>
      <c r="B9" s="66" t="inlineStr">
        <is>
          <t>ASESOR BUSCADOR</t>
        </is>
      </c>
      <c r="C9" s="67" t="n"/>
      <c r="D9" s="68" t="n"/>
      <c r="E9" s="79" t="n"/>
      <c r="F9" s="67" t="n"/>
      <c r="G9" s="67" t="n"/>
      <c r="H9" s="68" t="n"/>
      <c r="I9" s="4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1.2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1.25" customHeight="1">
      <c r="A11" s="1" t="n"/>
      <c r="B11" s="48" t="inlineStr">
        <is>
          <t>OBSERVACIONES</t>
        </is>
      </c>
      <c r="C11" s="49" t="n"/>
      <c r="D11" s="50" t="n"/>
      <c r="E11" s="86" t="n"/>
      <c r="F11" s="49" t="n"/>
      <c r="G11" s="49" t="n"/>
      <c r="H11" s="50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1.25" customHeight="1">
      <c r="A12" s="1" t="n"/>
      <c r="B12" s="61" t="inlineStr">
        <is>
          <t>MOTIVOS DE IMPAGO</t>
        </is>
      </c>
      <c r="C12" s="57" t="n"/>
      <c r="D12" s="58" t="n"/>
      <c r="E12" s="54" t="n"/>
      <c r="F12" s="6" t="n"/>
      <c r="G12" s="6" t="n"/>
      <c r="H12" s="7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1.25" customHeight="1">
      <c r="A13" s="1" t="n"/>
      <c r="B13" s="61" t="inlineStr">
        <is>
          <t>PRECIO</t>
        </is>
      </c>
      <c r="C13" s="57" t="n"/>
      <c r="D13" s="58" t="n"/>
      <c r="E13" s="54" t="n"/>
      <c r="F13" s="6" t="n"/>
      <c r="G13" s="6" t="n"/>
      <c r="H13" s="8" t="n"/>
      <c r="I13" s="44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1.25" customHeight="1">
      <c r="A14" s="1" t="n"/>
      <c r="B14" s="9" t="inlineStr">
        <is>
          <t>TOTAL HONORARIOS</t>
        </is>
      </c>
      <c r="C14" s="10" t="n"/>
      <c r="D14" s="11" t="n"/>
      <c r="E14" s="54" t="n"/>
      <c r="F14" s="6" t="n"/>
      <c r="G14" s="6" t="n"/>
      <c r="H14" s="12">
        <f>H13/100*E14*1.21</f>
        <v/>
      </c>
      <c r="I14" s="44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1.25" customHeight="1">
      <c r="A15" s="1" t="n"/>
      <c r="B15" s="13" t="inlineStr">
        <is>
          <t>PAGOS PARCIALES</t>
        </is>
      </c>
      <c r="C15" s="14" t="n"/>
      <c r="D15" s="15" t="n"/>
      <c r="E15" s="16" t="n"/>
      <c r="F15" s="17" t="n"/>
      <c r="G15" s="17" t="n"/>
      <c r="H15" s="18" t="n"/>
      <c r="I15" s="1" t="n"/>
      <c r="J15" s="1" t="n"/>
      <c r="K15" s="1" t="n"/>
      <c r="L15" s="19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1.25" customHeight="1">
      <c r="A16" s="1" t="n"/>
      <c r="B16" s="56" t="inlineStr">
        <is>
          <t>TOTAL DEUDA</t>
        </is>
      </c>
      <c r="C16" s="57" t="n"/>
      <c r="D16" s="58" t="n"/>
      <c r="E16" s="20" t="n"/>
      <c r="F16" s="21" t="n"/>
      <c r="G16" s="21" t="n"/>
      <c r="H16" s="12">
        <f>H14-H15</f>
        <v/>
      </c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1.25" customHeight="1">
      <c r="A17" s="1" t="n"/>
      <c r="B17" s="22" t="inlineStr">
        <is>
          <t>PROPUESTA PAGO</t>
        </is>
      </c>
      <c r="C17" s="23" t="n"/>
      <c r="D17" s="24" t="n"/>
      <c r="E17" s="25" t="n"/>
      <c r="F17" s="26" t="n"/>
      <c r="G17" s="26" t="n"/>
      <c r="H17" s="27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1.25" customHeight="1">
      <c r="A18" s="1" t="n"/>
      <c r="B18" s="66" t="inlineStr">
        <is>
          <t>DIFERENCIA</t>
        </is>
      </c>
      <c r="C18" s="67" t="n"/>
      <c r="D18" s="68" t="n"/>
      <c r="E18" s="28" t="n"/>
      <c r="F18" s="29" t="n"/>
      <c r="G18" s="29" t="n"/>
      <c r="H18" s="30">
        <f>H16-H17</f>
        <v/>
      </c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1.25" customHeight="1">
      <c r="A19" s="1" t="n"/>
      <c r="B19" s="31" t="n"/>
      <c r="C19" s="31" t="n"/>
      <c r="D19" s="31" t="n"/>
      <c r="E19" s="3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1.25" customHeight="1">
      <c r="A20" s="1" t="n"/>
      <c r="B20" s="63" t="inlineStr">
        <is>
          <t>VIABILIDAD</t>
        </is>
      </c>
      <c r="C20" s="52" t="n"/>
      <c r="D20" s="52" t="n"/>
      <c r="E20" s="52" t="n"/>
      <c r="F20" s="52" t="n"/>
      <c r="G20" s="52" t="n"/>
      <c r="H20" s="53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1.25" customHeight="1">
      <c r="A21" s="1" t="n"/>
      <c r="B21" s="84" t="inlineStr">
        <is>
          <t>JURÍDICO</t>
        </is>
      </c>
      <c r="C21" s="49" t="n"/>
      <c r="D21" s="60" t="n"/>
      <c r="E21" s="104" t="n"/>
      <c r="F21" s="49" t="n"/>
      <c r="G21" s="49" t="n"/>
      <c r="H21" s="50" t="n"/>
      <c r="I21" s="44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1.25" customHeight="1">
      <c r="A22" s="1" t="n"/>
      <c r="B22" s="82" t="inlineStr">
        <is>
          <t>FINANZAS</t>
        </is>
      </c>
      <c r="C22" s="67" t="n"/>
      <c r="D22" s="71" t="n"/>
      <c r="E22" s="83" t="n"/>
      <c r="F22" s="71" t="n"/>
      <c r="G22" s="85" t="n"/>
      <c r="H22" s="68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1.25" customHeight="1">
      <c r="A23" s="1" t="n"/>
      <c r="B23" s="1" t="n"/>
      <c r="C23" s="1" t="n"/>
      <c r="D23" s="1" t="n"/>
      <c r="E23" s="1" t="n"/>
      <c r="F23" s="32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1.25" customHeight="1">
      <c r="A24" s="1" t="n"/>
      <c r="B24" s="63" t="inlineStr">
        <is>
          <t>DATOS OPERACIÓN</t>
        </is>
      </c>
      <c r="C24" s="52" t="n"/>
      <c r="D24" s="52" t="n"/>
      <c r="E24" s="52" t="n"/>
      <c r="F24" s="52" t="n"/>
      <c r="G24" s="52" t="n"/>
      <c r="H24" s="53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1.25" customHeight="1">
      <c r="A25" s="1" t="n"/>
      <c r="B25" s="48" t="inlineStr">
        <is>
          <t>CUANTIA</t>
        </is>
      </c>
      <c r="C25" s="49" t="n"/>
      <c r="D25" s="49" t="n"/>
      <c r="E25" s="50" t="n"/>
      <c r="F25" s="59" t="n"/>
      <c r="G25" s="60" t="n"/>
      <c r="H25" s="33" t="n"/>
      <c r="I25" s="44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1.25" customHeight="1">
      <c r="A26" s="1" t="n"/>
      <c r="B26" s="56" t="inlineStr">
        <is>
          <t>ENCARGO</t>
        </is>
      </c>
      <c r="C26" s="57" t="n"/>
      <c r="D26" s="57" t="n"/>
      <c r="E26" s="58" t="n"/>
      <c r="F26" s="54" t="n"/>
      <c r="G26" s="55" t="n"/>
      <c r="H26" s="34" t="n"/>
      <c r="I26" s="44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1.25" customHeight="1">
      <c r="A27" s="1" t="n"/>
      <c r="B27" s="56" t="inlineStr">
        <is>
          <t>IDENTIFICACIÓN PROPIETARIO</t>
        </is>
      </c>
      <c r="C27" s="57" t="n"/>
      <c r="D27" s="57" t="n"/>
      <c r="E27" s="58" t="n"/>
      <c r="F27" s="54" t="n"/>
      <c r="G27" s="55" t="n"/>
      <c r="H27" s="35" t="n"/>
      <c r="I27" s="44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1.25" customHeight="1">
      <c r="A28" s="1" t="n"/>
      <c r="B28" s="56" t="inlineStr">
        <is>
          <t>TITULARIDAD</t>
        </is>
      </c>
      <c r="C28" s="57" t="n"/>
      <c r="D28" s="57" t="n"/>
      <c r="E28" s="58" t="n"/>
      <c r="F28" s="54" t="n"/>
      <c r="G28" s="55" t="n"/>
      <c r="H28" s="34" t="n"/>
      <c r="I28" s="44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1.25" customHeight="1">
      <c r="A29" s="1" t="n"/>
      <c r="B29" s="56" t="inlineStr">
        <is>
          <t>HOJA VISITA</t>
        </is>
      </c>
      <c r="C29" s="57" t="n"/>
      <c r="D29" s="57" t="n"/>
      <c r="E29" s="58" t="n"/>
      <c r="F29" s="54" t="n"/>
      <c r="G29" s="55" t="n"/>
      <c r="H29" s="7" t="n"/>
      <c r="I29" s="44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1.25" customHeight="1">
      <c r="A30" s="1" t="n"/>
      <c r="B30" s="56" t="inlineStr">
        <is>
          <t>OFERTA</t>
        </is>
      </c>
      <c r="C30" s="57" t="n"/>
      <c r="D30" s="57" t="n"/>
      <c r="E30" s="58" t="n"/>
      <c r="F30" s="54" t="n"/>
      <c r="G30" s="55" t="n"/>
      <c r="H30" s="36" t="n"/>
      <c r="I30" s="44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1.25" customHeight="1">
      <c r="A31" s="1" t="n"/>
      <c r="B31" s="56" t="inlineStr">
        <is>
          <t>IDENTIFICACIÓN - BUSCADOR</t>
        </is>
      </c>
      <c r="C31" s="57" t="n"/>
      <c r="D31" s="57" t="n"/>
      <c r="E31" s="58" t="n"/>
      <c r="F31" s="54" t="n"/>
      <c r="G31" s="55" t="n"/>
      <c r="H31" s="35" t="n"/>
      <c r="I31" s="44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1.25" customHeight="1">
      <c r="A32" s="1" t="n"/>
      <c r="B32" s="56" t="inlineStr">
        <is>
          <t>ARRAS/ARRENDAMIENTO</t>
        </is>
      </c>
      <c r="C32" s="57" t="n"/>
      <c r="D32" s="57" t="n"/>
      <c r="E32" s="58" t="n"/>
      <c r="F32" s="54" t="n"/>
      <c r="G32" s="55" t="n"/>
      <c r="H32" s="35" t="n"/>
      <c r="I32" s="44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1.25" customHeight="1">
      <c r="A33" s="1" t="n"/>
      <c r="B33" s="56" t="inlineStr">
        <is>
          <t>RECONOCIMIENTO HONORARIOS -ARRAS</t>
        </is>
      </c>
      <c r="C33" s="57" t="n"/>
      <c r="D33" s="57" t="n"/>
      <c r="E33" s="58" t="n"/>
      <c r="F33" s="54" t="n"/>
      <c r="G33" s="55" t="n"/>
      <c r="H33" s="35" t="n"/>
      <c r="I33" s="44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1.25" customHeight="1">
      <c r="A34" s="1" t="n"/>
      <c r="B34" s="56" t="inlineStr">
        <is>
          <t>ESCRITURA</t>
        </is>
      </c>
      <c r="C34" s="57" t="n"/>
      <c r="D34" s="57" t="n"/>
      <c r="E34" s="58" t="n"/>
      <c r="F34" s="54" t="n"/>
      <c r="G34" s="55" t="n"/>
      <c r="H34" s="34" t="n"/>
      <c r="I34" s="44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1.25" customHeight="1">
      <c r="A35" s="1" t="n"/>
      <c r="B35" s="56" t="inlineStr">
        <is>
          <t>RECONOCIMIENTO HONORARIOS - ESCRITURA</t>
        </is>
      </c>
      <c r="C35" s="57" t="n"/>
      <c r="D35" s="57" t="n"/>
      <c r="E35" s="58" t="n"/>
      <c r="F35" s="54" t="n"/>
      <c r="G35" s="55" t="n"/>
      <c r="H35" s="35" t="n"/>
      <c r="I35" s="44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1.25" customHeight="1">
      <c r="A36" s="1" t="n"/>
      <c r="B36" s="56" t="inlineStr">
        <is>
          <t>RECLAMACIÓN JURIDICO</t>
        </is>
      </c>
      <c r="C36" s="57" t="n"/>
      <c r="D36" s="57" t="n"/>
      <c r="E36" s="58" t="n"/>
      <c r="F36" s="54" t="n"/>
      <c r="G36" s="55" t="n"/>
      <c r="H36" s="108" t="n"/>
      <c r="I36" s="44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1.25" customHeight="1">
      <c r="A37" s="1" t="n"/>
      <c r="B37" s="73" t="inlineStr">
        <is>
          <t>RESPUESTA RECLAMACIÓN</t>
        </is>
      </c>
      <c r="C37" s="74" t="n"/>
      <c r="D37" s="74" t="n"/>
      <c r="E37" s="75" t="n"/>
      <c r="F37" s="70" t="n"/>
      <c r="G37" s="71" t="n"/>
      <c r="H37" s="107" t="n"/>
      <c r="I37" s="44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1.25" customHeight="1">
      <c r="A38" s="1" t="n"/>
      <c r="B38" s="73" t="inlineStr">
        <is>
          <t>OFERTA VINCULANTE CONFIDENCIAL</t>
        </is>
      </c>
      <c r="C38" s="74" t="n"/>
      <c r="D38" s="74" t="n"/>
      <c r="E38" s="75" t="n"/>
      <c r="F38" s="70" t="n"/>
      <c r="G38" s="71" t="n"/>
      <c r="H38" s="107" t="n"/>
      <c r="I38" s="44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1.25" customHeight="1">
      <c r="A39" s="1" t="n"/>
      <c r="B39" s="51" t="inlineStr">
        <is>
          <t>TOTAL</t>
        </is>
      </c>
      <c r="C39" s="52" t="n"/>
      <c r="D39" s="52" t="n"/>
      <c r="E39" s="53" t="n"/>
      <c r="F39" s="64">
        <f>SUM(F25:G38)</f>
        <v/>
      </c>
      <c r="G39" s="65" t="n"/>
      <c r="H39" s="37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1.25" customHeight="1">
      <c r="A40" s="1" t="n"/>
      <c r="B40" s="136" t="n"/>
      <c r="F40" s="136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1.25" customHeight="1">
      <c r="A41" s="1" t="n"/>
      <c r="B41" s="63" t="inlineStr">
        <is>
          <t>ACTIVIDADES</t>
        </is>
      </c>
      <c r="C41" s="52" t="n"/>
      <c r="D41" s="52" t="n"/>
      <c r="E41" s="52" t="n"/>
      <c r="F41" s="52" t="n"/>
      <c r="G41" s="52" t="n"/>
      <c r="H41" s="53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1.25" customHeight="1">
      <c r="A42" s="1" t="n"/>
      <c r="B42" s="56" t="inlineStr">
        <is>
          <t>EXPOSES - PROPIEDAD</t>
        </is>
      </c>
      <c r="C42" s="57" t="n"/>
      <c r="D42" s="57" t="n"/>
      <c r="E42" s="58" t="n"/>
      <c r="F42" s="54" t="n"/>
      <c r="G42" s="55" t="n"/>
      <c r="H42" s="35" t="n"/>
      <c r="I42" s="44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1.25" customHeight="1">
      <c r="A43" s="1" t="n"/>
      <c r="B43" s="56" t="inlineStr">
        <is>
          <t>VISITAS - PROPIEDAD</t>
        </is>
      </c>
      <c r="C43" s="57" t="n"/>
      <c r="D43" s="57" t="n"/>
      <c r="E43" s="58" t="n"/>
      <c r="F43" s="54" t="n"/>
      <c r="G43" s="55" t="n"/>
      <c r="H43" s="35" t="n"/>
      <c r="I43" s="44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1.25" customHeight="1">
      <c r="A44" s="1" t="n"/>
      <c r="B44" s="56" t="inlineStr">
        <is>
          <t>EXPOSES - BUSCADOR</t>
        </is>
      </c>
      <c r="C44" s="57" t="n"/>
      <c r="D44" s="57" t="n"/>
      <c r="E44" s="58" t="n"/>
      <c r="F44" s="54" t="n"/>
      <c r="G44" s="55" t="n"/>
      <c r="H44" s="35" t="n"/>
      <c r="I44" s="44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1.25" customHeight="1">
      <c r="A45" s="1" t="n"/>
      <c r="B45" s="66" t="inlineStr">
        <is>
          <t>VISITAS - BUSCADOR</t>
        </is>
      </c>
      <c r="C45" s="67" t="n"/>
      <c r="D45" s="67" t="n"/>
      <c r="E45" s="68" t="n"/>
      <c r="F45" s="70" t="n"/>
      <c r="G45" s="71" t="n"/>
      <c r="H45" s="38" t="n"/>
      <c r="I45" s="44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1.25" customHeight="1">
      <c r="A46" s="1" t="n"/>
      <c r="B46" s="1" t="n"/>
      <c r="F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1.25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1.25" customHeight="1" thickBot="1">
      <c r="A48" s="1" t="n"/>
      <c r="B48" s="137" t="n"/>
      <c r="C48" s="138" t="n"/>
      <c r="D48" s="138" t="n"/>
      <c r="E48" s="138" t="n"/>
      <c r="F48" s="138" t="n"/>
      <c r="G48" s="138" t="n"/>
      <c r="H48" s="139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1.25" customHeight="1">
      <c r="A49" s="1" t="n"/>
      <c r="B49" s="140" t="n"/>
      <c r="H49" s="14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1.25" customHeight="1">
      <c r="A50" s="1" t="n"/>
      <c r="B50" s="140" t="n"/>
      <c r="H50" s="14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1.25" customHeight="1">
      <c r="A51" s="1" t="n"/>
      <c r="B51" s="140" t="n"/>
      <c r="H51" s="14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1.25" customHeight="1">
      <c r="A52" s="1" t="n"/>
      <c r="B52" s="140" t="n"/>
      <c r="H52" s="14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1.25" customHeight="1">
      <c r="A53" s="1" t="n"/>
      <c r="B53" s="140" t="n"/>
      <c r="H53" s="14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1.25" customHeight="1">
      <c r="A54" s="1" t="n"/>
      <c r="B54" s="140" t="n"/>
      <c r="H54" s="14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1.25" customHeight="1">
      <c r="A55" s="1" t="n"/>
      <c r="B55" s="140" t="n"/>
      <c r="H55" s="14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1.25" customHeight="1">
      <c r="A56" s="1" t="n"/>
      <c r="B56" s="140" t="n"/>
      <c r="H56" s="14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1.25" customHeight="1">
      <c r="A57" s="1" t="n"/>
      <c r="B57" s="140" t="n"/>
      <c r="H57" s="14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1.25" customHeight="1">
      <c r="A58" s="1" t="n"/>
      <c r="B58" s="140" t="n"/>
      <c r="H58" s="14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1.25" customHeight="1">
      <c r="A59" s="1" t="n"/>
      <c r="B59" s="140" t="n"/>
      <c r="H59" s="14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1.25" customHeight="1">
      <c r="A60" s="1" t="n"/>
      <c r="B60" s="140" t="n"/>
      <c r="H60" s="14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1.25" customHeight="1">
      <c r="A61" s="1" t="n"/>
      <c r="B61" s="140" t="n"/>
      <c r="H61" s="14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1.25" customHeight="1">
      <c r="A62" s="1" t="n"/>
      <c r="B62" s="140" t="n"/>
      <c r="H62" s="14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1.25" customHeight="1">
      <c r="A63" s="1" t="n"/>
      <c r="B63" s="140" t="n"/>
      <c r="H63" s="14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1.25" customHeight="1">
      <c r="A64" s="1" t="n"/>
      <c r="B64" s="140" t="n"/>
      <c r="H64" s="14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1.25" customHeight="1">
      <c r="A65" s="1" t="n"/>
      <c r="B65" s="140" t="n"/>
      <c r="H65" s="14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1.25" customHeight="1">
      <c r="A66" s="1" t="n"/>
      <c r="B66" s="140" t="n"/>
      <c r="H66" s="14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1.25" customHeight="1">
      <c r="A67" s="1" t="n"/>
      <c r="B67" s="140" t="n"/>
      <c r="H67" s="14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1.25" customHeight="1">
      <c r="A68" s="1" t="n"/>
      <c r="B68" s="140" t="n"/>
      <c r="H68" s="14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1.25" customHeight="1">
      <c r="A69" s="1" t="n"/>
      <c r="B69" s="140" t="n"/>
      <c r="H69" s="14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1.25" customHeight="1">
      <c r="A70" s="1" t="n"/>
      <c r="B70" s="140" t="n"/>
      <c r="H70" s="14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1.25" customHeight="1">
      <c r="A71" s="1" t="n"/>
      <c r="B71" s="140" t="n"/>
      <c r="H71" s="14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1.25" customHeight="1">
      <c r="A72" s="1" t="n"/>
      <c r="B72" s="140" t="n"/>
      <c r="H72" s="14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1.25" customHeight="1">
      <c r="A73" s="1" t="n"/>
      <c r="B73" s="140" t="n"/>
      <c r="H73" s="14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1.25" customHeight="1">
      <c r="A74" s="1" t="n"/>
      <c r="B74" s="140" t="n"/>
      <c r="H74" s="14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1.25" customHeight="1">
      <c r="A75" s="1" t="n"/>
      <c r="B75" s="140" t="n"/>
      <c r="H75" s="14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1.25" customHeight="1">
      <c r="A76" s="1" t="n"/>
      <c r="B76" s="140" t="n"/>
      <c r="H76" s="14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1.25" customHeight="1">
      <c r="A77" s="1" t="n"/>
      <c r="B77" s="140" t="n"/>
      <c r="H77" s="14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27.75" customHeight="1">
      <c r="A78" s="1" t="n"/>
      <c r="B78" s="140" t="n"/>
      <c r="H78" s="14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1.25" customHeight="1">
      <c r="A79" s="1" t="n"/>
      <c r="B79" s="140" t="n"/>
      <c r="H79" s="14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1.25" customHeight="1">
      <c r="A80" s="1" t="n"/>
      <c r="B80" s="140" t="n"/>
      <c r="H80" s="14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1.25" customHeight="1">
      <c r="A81" s="1" t="n"/>
      <c r="B81" s="140" t="n"/>
      <c r="H81" s="14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1.25" customHeight="1">
      <c r="A82" s="1" t="n"/>
      <c r="B82" s="140" t="n"/>
      <c r="H82" s="14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1.25" customHeight="1">
      <c r="A83" s="1" t="n"/>
      <c r="B83" s="140" t="n"/>
      <c r="H83" s="14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1.25" customHeight="1">
      <c r="A84" s="1" t="n"/>
      <c r="B84" s="140" t="n"/>
      <c r="H84" s="14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1.25" customHeight="1">
      <c r="A85" s="1" t="n"/>
      <c r="B85" s="140" t="n"/>
      <c r="H85" s="14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1.25" customHeight="1">
      <c r="A86" s="1" t="n"/>
      <c r="B86" s="142" t="n"/>
      <c r="C86" s="143" t="n"/>
      <c r="D86" s="143" t="n"/>
      <c r="E86" s="143" t="n"/>
      <c r="F86" s="143" t="n"/>
      <c r="G86" s="143" t="n"/>
      <c r="H86" s="144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20.25" customHeight="1">
      <c r="A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1.25" customHeight="1">
      <c r="A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1.25" customHeight="1">
      <c r="A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1.25" customHeight="1">
      <c r="A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1.25" customHeight="1">
      <c r="A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1.25" customHeight="1">
      <c r="A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1.25" customHeight="1">
      <c r="A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1.25" customHeight="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1.25" customHeight="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1.2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1.25" customHeight="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1.25" customHeight="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1.25" customHeight="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1.25" customHeight="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1.25" customHeight="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1.25" customHeight="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1.25" customHeight="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1.25" customHeight="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1.25" customHeight="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1.25" customHeight="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1.25" customHeight="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1.25" customHeight="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1.25" customHeight="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1.25" customHeight="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1.25" customHeight="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1.2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1.25" customHeight="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1.25" customHeight="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1.25" customHeight="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1.25" customHeight="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1.25" customHeight="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1.25" customHeight="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1.25" customHeight="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1.25" customHeight="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1.25" customHeight="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1.25" customHeight="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1.25" customHeight="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1.25" customHeight="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1.25" customHeight="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1.25" customHeight="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1.25" customHeight="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1.25" customHeight="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1.2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1.25" customHeight="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1.25" customHeight="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1.25" customHeight="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1.25" customHeight="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1.25" customHeight="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1.25" customHeight="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1.25" customHeight="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1.25" customHeight="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1.25" customHeight="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1.25" customHeight="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1.25" customHeight="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1.25" customHeight="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1.25" customHeight="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1.25" customHeight="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1.25" customHeight="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1.25" customHeight="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1.25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1.25" customHeight="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1.25" customHeight="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1.25" customHeight="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1.25" customHeight="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1.25" customHeight="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1.25" customHeight="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1.25" customHeight="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1.2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1.25" customHeight="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1.25" customHeight="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1.25" customHeight="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1.25" customHeight="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1.25" customHeight="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1.25" customHeight="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1.25" customHeight="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1.25" customHeight="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1.25" customHeight="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1.25" customHeight="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1.25" customHeight="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1.25" customHeight="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1.25" customHeight="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1.25" customHeight="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1.25" customHeight="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1.25" customHeight="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1.25" customHeight="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1.2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1.25" customHeight="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1.25" customHeight="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1.25" customHeight="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1.25" customHeight="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1.25" customHeight="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1.25" customHeight="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1.25" customHeight="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1.25" customHeight="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1.25" customHeight="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1.25" customHeight="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1.25" customHeight="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1.25" customHeight="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1.25" customHeight="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1.25" customHeight="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1.25" customHeight="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1.2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1.25" customHeight="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1.25" customHeight="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1.25" customHeight="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1.25" customHeight="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1.25" customHeight="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1.25" customHeight="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1.25" customHeight="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1.25" customHeight="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1.25" customHeight="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1.25" customHeight="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1.25" customHeight="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1.25" customHeight="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1.25" customHeight="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1.25" customHeight="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1.25" customHeight="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1.25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1.25" customHeight="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1.25" customHeight="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1.25" customHeight="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1.25" customHeight="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1.25" customHeight="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1.25" customHeight="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1.25" customHeight="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1.2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1.25" customHeight="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1.25" customHeight="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1.25" customHeight="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1.25" customHeight="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1.25" customHeight="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1.25" customHeight="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1.25" customHeight="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1.25" customHeight="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1.25" customHeight="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1.25" customHeight="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1.25" customHeight="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1.25" customHeight="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1.25" customHeight="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1.25" customHeight="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1.25" customHeight="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1.2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1.25" customHeight="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1.25" customHeight="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1.25" customHeight="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1.25" customHeight="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1.25" customHeight="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1.25" customHeight="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1.25" customHeight="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1.25" customHeight="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1.25" customHeight="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1.25" customHeight="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1.25" customHeight="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1.25" customHeight="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1.25" customHeight="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1.2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1.25" customHeight="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1.25" customHeight="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1.25" customHeight="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1.2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B11:D11"/>
    <mergeCell ref="B40:E40"/>
    <mergeCell ref="F29:G29"/>
    <mergeCell ref="B8:D8"/>
    <mergeCell ref="F25:G25"/>
    <mergeCell ref="F34:G34"/>
    <mergeCell ref="B30:E30"/>
    <mergeCell ref="B24:H24"/>
    <mergeCell ref="B33:E33"/>
    <mergeCell ref="E7:H7"/>
    <mergeCell ref="B13:D13"/>
    <mergeCell ref="F40:G40"/>
    <mergeCell ref="B20:H20"/>
    <mergeCell ref="B36:E36"/>
    <mergeCell ref="B32:E32"/>
    <mergeCell ref="B45:E45"/>
    <mergeCell ref="B26:E26"/>
    <mergeCell ref="F30:G30"/>
    <mergeCell ref="B35:E35"/>
    <mergeCell ref="G22:H22"/>
    <mergeCell ref="F33:G33"/>
    <mergeCell ref="F45:G45"/>
    <mergeCell ref="B9:D9"/>
    <mergeCell ref="E21:H21"/>
    <mergeCell ref="F36:G36"/>
    <mergeCell ref="B25:E25"/>
    <mergeCell ref="F32:G32"/>
    <mergeCell ref="B48:H86"/>
    <mergeCell ref="F42:G42"/>
    <mergeCell ref="F26:G26"/>
    <mergeCell ref="B6:D6"/>
    <mergeCell ref="E5:H5"/>
    <mergeCell ref="F35:G35"/>
    <mergeCell ref="B31:E31"/>
    <mergeCell ref="B27:E27"/>
    <mergeCell ref="B5:D5"/>
    <mergeCell ref="E8:H8"/>
    <mergeCell ref="F38:G38"/>
    <mergeCell ref="B43:E43"/>
    <mergeCell ref="E4:H4"/>
    <mergeCell ref="B4:D4"/>
    <mergeCell ref="F31:G31"/>
    <mergeCell ref="B39:E39"/>
    <mergeCell ref="B2:H2"/>
    <mergeCell ref="F28:G28"/>
    <mergeCell ref="B7:D7"/>
    <mergeCell ref="F27:G27"/>
    <mergeCell ref="B42:E42"/>
    <mergeCell ref="B16:D16"/>
    <mergeCell ref="F43:G43"/>
    <mergeCell ref="F37:G37"/>
    <mergeCell ref="F39:G39"/>
    <mergeCell ref="E9:H9"/>
    <mergeCell ref="B22:D22"/>
    <mergeCell ref="B44:E44"/>
    <mergeCell ref="B38:E38"/>
    <mergeCell ref="E6:H6"/>
    <mergeCell ref="B18:D18"/>
    <mergeCell ref="B29:E29"/>
    <mergeCell ref="E22:F22"/>
    <mergeCell ref="B21:D21"/>
    <mergeCell ref="B37:E37"/>
    <mergeCell ref="B12:D12"/>
    <mergeCell ref="E11:H11"/>
    <mergeCell ref="B28:E28"/>
    <mergeCell ref="F44:G44"/>
    <mergeCell ref="B34:E34"/>
  </mergeCells>
  <conditionalFormatting sqref="E21:H21">
    <cfRule type="expression" priority="1" dxfId="0">
      <formula>$E$21="verde"</formula>
    </cfRule>
    <cfRule type="expression" priority="2" dxfId="1">
      <formula>$E$21="amarillo"</formula>
    </cfRule>
    <cfRule type="expression" priority="3" dxfId="2">
      <formula>$E$21="rojo"</formula>
    </cfRule>
  </conditionalFormatting>
  <conditionalFormatting sqref="E22:H22">
    <cfRule type="expression" priority="4" dxfId="3" stopIfTrue="0">
      <formula>$E$22="verde"</formula>
    </cfRule>
    <cfRule type="expression" priority="5" dxfId="4" stopIfTrue="0">
      <formula>$E$22="amarillo"</formula>
    </cfRule>
    <cfRule type="expression" priority="6" dxfId="5" stopIfTrue="0">
      <formula>$E$22="rojo"</formula>
    </cfRule>
  </conditionalFormatting>
  <dataValidations count="2">
    <dataValidation sqref="E21" showDropDown="0" showInputMessage="0" showErrorMessage="1" allowBlank="1" type="list">
      <formula1>"verde,amarillo,rojo"</formula1>
    </dataValidation>
    <dataValidation sqref="E22" showDropDown="0" showInputMessage="0" showErrorMessage="0" allowBlank="1" type="list">
      <formula1>"verde,amarillo,rojo"</formula1>
    </dataValidation>
  </dataValidation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M103"/>
  <sheetViews>
    <sheetView showGridLines="0"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9" customWidth="1" min="3" max="3"/>
    <col width="40" customWidth="1" min="4" max="4"/>
    <col width="30" customWidth="1" min="5" max="5"/>
    <col width="30" customWidth="1" min="6" max="6"/>
    <col width="10" customWidth="1" min="7" max="7"/>
    <col width="20" customWidth="1" min="8" max="8"/>
    <col width="28" customWidth="1" min="9" max="9"/>
    <col width="28" customWidth="1" min="10" max="10"/>
    <col width="11" customWidth="1" min="11" max="11"/>
    <col width="24" customWidth="1" min="12" max="12"/>
    <col width="16" customWidth="1" min="13" max="13"/>
  </cols>
  <sheetData>
    <row r="1">
      <c r="B1" s="120" t="inlineStr">
        <is>
          <t>PREGUNTAS — cuestionario de viabilidad (hoja de trabajo / evidencia)</t>
        </is>
      </c>
    </row>
    <row r="2">
      <c r="B2" s="121" t="inlineStr">
        <is>
          <t>OPCIÓN 1 — Hoja protegida. El ABOGADO solo escribe en las cabeceras verdes. El resto lo rellena el LLM o es plantilla fija (NO TOCAR). Filtra ¿PENDIENTE?=sí para el guion de entrevista.</t>
        </is>
      </c>
    </row>
    <row r="3">
      <c r="B3" s="122" t="inlineStr">
        <is>
          <t>SECCIÓN</t>
        </is>
      </c>
      <c r="C3" s="122" t="inlineStr">
        <is>
          <t>ID</t>
        </is>
      </c>
      <c r="D3" s="122" t="inlineStr">
        <is>
          <t>PREGUNTA</t>
        </is>
      </c>
      <c r="E3" s="123" t="inlineStr">
        <is>
          <t>NOTAS LETRADO</t>
        </is>
      </c>
      <c r="F3" s="122" t="inlineStr">
        <is>
          <t>OBJETIVO PROBATORIO</t>
        </is>
      </c>
      <c r="G3" s="122" t="inlineStr">
        <is>
          <t>TIPO</t>
        </is>
      </c>
      <c r="H3" s="122" t="inlineStr">
        <is>
          <t>FUENTE PROBABLE</t>
        </is>
      </c>
      <c r="I3" s="124" t="inlineStr">
        <is>
          <t>RESPUESTA</t>
        </is>
      </c>
      <c r="J3" s="122" t="inlineStr">
        <is>
          <t>CITA / FUENTE</t>
        </is>
      </c>
      <c r="K3" s="124" t="inlineStr">
        <is>
          <t>CONFIANZA</t>
        </is>
      </c>
      <c r="L3" s="122" t="inlineStr">
        <is>
          <t>HITO</t>
        </is>
      </c>
      <c r="M3" s="124" t="inlineStr">
        <is>
          <t>¿PENDIENTE ENTREVISTA?</t>
        </is>
      </c>
    </row>
    <row r="4">
      <c r="B4" s="125" t="inlineStr">
        <is>
          <t>[Fijo de plantilla – NO TOCAR] Bloque del cuestionario; agrupa y filtra por tipo de caso.</t>
        </is>
      </c>
      <c r="C4" s="125" t="inlineStr">
        <is>
          <t>[Fijo de plantilla – NO TOCAR] Código de la pregunta; enlaza con el scoring del hito.</t>
        </is>
      </c>
      <c r="D4" s="125" t="inlineStr">
        <is>
          <t>[Fijo de plantilla – NO TOCAR] Lo que hay que averiguar.</t>
        </is>
      </c>
      <c r="E4" s="125" t="inlineStr">
        <is>
          <t>[Lo rellena el ABOGADO] Tus notas en la entrevista: credibilidad, matices, estrategia.</t>
        </is>
      </c>
      <c r="F4" s="125" t="inlineStr">
        <is>
          <t>[Fijo de plantilla – NO TOCAR] Qué prueba persigue (por qué importa).</t>
        </is>
      </c>
      <c r="G4" s="125" t="inlineStr">
        <is>
          <t>[Fijo de plantilla – NO TOCAR] Formato de respuesta (sí/no, fecha, nº, texto).</t>
        </is>
      </c>
      <c r="H4" s="125" t="inlineStr">
        <is>
          <t>[Fijo de plantilla – NO TOCAR] Dónde buscar la respuesta (documento o entrevista).</t>
        </is>
      </c>
      <c r="I4" s="125" t="inlineStr">
        <is>
          <t>[Prerrellena LLM – Abogado valida] Respuesta: del documento antes; de la transcripción después.</t>
        </is>
      </c>
      <c r="J4" s="125" t="inlineStr">
        <is>
          <t>[Prerrellena LLM – NO TOCAR] Rastro de la fuente: [doc: fichero] o [entrevista: min] + cita literal.</t>
        </is>
      </c>
      <c r="K4" s="125" t="inlineStr">
        <is>
          <t>[Prerrellena LLM – Abogado puede ajustar] Fiabilidad de la respuesta (alta/media/baja).</t>
        </is>
      </c>
      <c r="L4" s="125" t="inlineStr">
        <is>
          <t>[Fijo de plantilla – NO TOCAR] Hito de INFORMACION que respalda esta pregunta.</t>
        </is>
      </c>
      <c r="M4" s="125" t="inlineStr">
        <is>
          <t>[Prerrellena LLM (auto) – Abogado puede cambiar] sí = al guion de entrevista; no = resuelta.</t>
        </is>
      </c>
    </row>
    <row r="5">
      <c r="B5" s="145" t="inlineStr">
        <is>
          <t>1. Captación (encargo)</t>
        </is>
      </c>
    </row>
    <row r="6" ht="30" customHeight="1">
      <c r="B6" s="127" t="inlineStr"/>
      <c r="C6" s="127" t="inlineStr">
        <is>
          <t>cap_01</t>
        </is>
      </c>
      <c r="D6" s="127" t="inlineStr">
        <is>
          <t>¿Cómo conseguiste el contacto con el propietario?</t>
        </is>
      </c>
      <c r="E6" s="128" t="n"/>
      <c r="F6" s="127" t="inlineStr">
        <is>
          <t>Fuente del lead (contacto privado, web E&amp;V, Idealista...).</t>
        </is>
      </c>
      <c r="G6" s="127" t="inlineStr">
        <is>
          <t>texto</t>
        </is>
      </c>
      <c r="H6" s="127" t="inlineStr">
        <is>
          <t>encargo, entrevista</t>
        </is>
      </c>
      <c r="I6" s="129" t="n"/>
      <c r="J6" s="127" t="n"/>
      <c r="K6" s="129" t="n"/>
      <c r="L6" s="127" t="inlineStr">
        <is>
          <t>—</t>
        </is>
      </c>
      <c r="M6" s="129" t="n"/>
    </row>
    <row r="7" ht="30" customHeight="1">
      <c r="B7" s="127" t="inlineStr"/>
      <c r="C7" s="127" t="inlineStr">
        <is>
          <t>cap_02</t>
        </is>
      </c>
      <c r="D7" s="127" t="inlineStr">
        <is>
          <t>¿Con quién hablaste al inicio? Indica nombre y apellidos.</t>
        </is>
      </c>
      <c r="E7" s="128" t="n"/>
      <c r="F7" s="127" t="inlineStr">
        <is>
          <t>Identificar interlocutor para localizar emails y WhatsApps.</t>
        </is>
      </c>
      <c r="G7" s="127" t="inlineStr">
        <is>
          <t>texto</t>
        </is>
      </c>
      <c r="H7" s="127" t="inlineStr">
        <is>
          <t>entrevista, email, whatsapp</t>
        </is>
      </c>
      <c r="I7" s="129" t="n"/>
      <c r="J7" s="127" t="n"/>
      <c r="K7" s="129" t="n"/>
      <c r="L7" s="127" t="inlineStr">
        <is>
          <t>—</t>
        </is>
      </c>
      <c r="M7" s="129" t="n"/>
    </row>
    <row r="8" ht="30" customHeight="1">
      <c r="B8" s="127" t="inlineStr"/>
      <c r="C8" s="127" t="inlineStr">
        <is>
          <t>cap_03</t>
        </is>
      </c>
      <c r="D8" s="127" t="inlineStr">
        <is>
          <t>¿Llegaste a conocer en persona a ese interlocutor?</t>
        </is>
      </c>
      <c r="E8" s="128" t="n"/>
      <c r="F8" s="127" t="inlineStr">
        <is>
          <t>Entender con quién y cómo nos comunicábamos y qué prueba puede existir.</t>
        </is>
      </c>
      <c r="G8" s="127" t="inlineStr">
        <is>
          <t>boolean</t>
        </is>
      </c>
      <c r="H8" s="127" t="inlineStr">
        <is>
          <t>entrevista</t>
        </is>
      </c>
      <c r="I8" s="129" t="n"/>
      <c r="J8" s="127" t="n"/>
      <c r="K8" s="129" t="n"/>
      <c r="L8" s="127" t="inlineStr">
        <is>
          <t>—</t>
        </is>
      </c>
      <c r="M8" s="129" t="n"/>
    </row>
    <row r="9" ht="30" customHeight="1">
      <c r="B9" s="127" t="inlineStr"/>
      <c r="C9" s="127" t="inlineStr">
        <is>
          <t>cap_04</t>
        </is>
      </c>
      <c r="D9" s="127" t="inlineStr">
        <is>
          <t>¿Cómo os comunicabais habitualmente?</t>
        </is>
      </c>
      <c r="E9" s="128" t="n"/>
      <c r="F9" s="127" t="inlineStr">
        <is>
          <t>Medios y personas (correo, teléfono, WhatsApp, con quién).</t>
        </is>
      </c>
      <c r="G9" s="127" t="inlineStr">
        <is>
          <t>texto</t>
        </is>
      </c>
      <c r="H9" s="127" t="inlineStr">
        <is>
          <t>entrevista, email, whatsapp</t>
        </is>
      </c>
      <c r="I9" s="129" t="n"/>
      <c r="J9" s="127" t="n"/>
      <c r="K9" s="129" t="n"/>
      <c r="L9" s="127" t="inlineStr">
        <is>
          <t>—</t>
        </is>
      </c>
      <c r="M9" s="129" t="n"/>
    </row>
    <row r="10" ht="30" customHeight="1">
      <c r="B10" s="127" t="inlineStr"/>
      <c r="C10" s="127" t="inlineStr">
        <is>
          <t>cap_05</t>
        </is>
      </c>
      <c r="D10" s="127" t="inlineStr">
        <is>
          <t>¿Preparaste una Listing Presentation (PPT de valoración)?</t>
        </is>
      </c>
      <c r="E10" s="128" t="n"/>
      <c r="F10" s="127" t="inlineStr">
        <is>
          <t>Acreditar actividad pre-encargo y profesionalidad.</t>
        </is>
      </c>
      <c r="G10" s="127" t="inlineStr">
        <is>
          <t>boolean</t>
        </is>
      </c>
      <c r="H10" s="127" t="inlineStr">
        <is>
          <t>entrevista, email</t>
        </is>
      </c>
      <c r="I10" s="129" t="n"/>
      <c r="J10" s="127" t="n"/>
      <c r="K10" s="129" t="n"/>
      <c r="L10" s="127" t="inlineStr">
        <is>
          <t>—</t>
        </is>
      </c>
      <c r="M10" s="129" t="n"/>
    </row>
    <row r="11" ht="30" customHeight="1">
      <c r="B11" s="127" t="inlineStr"/>
      <c r="C11" s="127" t="inlineStr">
        <is>
          <t>cap_06</t>
        </is>
      </c>
      <c r="D11" s="127" t="inlineStr">
        <is>
          <t>¿Adelantaste el encargo antes de firmarlo para que lo revisaran?</t>
        </is>
      </c>
      <c r="E11" s="128" t="n"/>
      <c r="F11" s="127" t="inlineStr">
        <is>
          <t>Probar información precontractual y validez del consentimiento (LGDCU).</t>
        </is>
      </c>
      <c r="G11" s="127" t="inlineStr">
        <is>
          <t>boolean</t>
        </is>
      </c>
      <c r="H11" s="127" t="inlineStr">
        <is>
          <t>email, whatsapp, entrevista</t>
        </is>
      </c>
      <c r="I11" s="129" t="n"/>
      <c r="J11" s="127" t="n"/>
      <c r="K11" s="129" t="n"/>
      <c r="L11" s="127" t="inlineStr">
        <is>
          <t>—</t>
        </is>
      </c>
      <c r="M11" s="129" t="n"/>
    </row>
    <row r="12" ht="30" customHeight="1">
      <c r="B12" s="127" t="inlineStr"/>
      <c r="C12" s="127" t="inlineStr">
        <is>
          <t>cap_07</t>
        </is>
      </c>
      <c r="D12" s="127" t="inlineStr">
        <is>
          <t>¿Cómo lo adelantaste?</t>
        </is>
      </c>
      <c r="E12" s="128" t="n"/>
      <c r="F12" s="127" t="inlineStr">
        <is>
          <t>Copia en su casa, e-mail o WhatsApp.</t>
        </is>
      </c>
      <c r="G12" s="127" t="inlineStr">
        <is>
          <t>enum</t>
        </is>
      </c>
      <c r="H12" s="127" t="inlineStr">
        <is>
          <t>email, whatsapp, entrevista</t>
        </is>
      </c>
      <c r="I12" s="129" t="n"/>
      <c r="J12" s="127" t="n"/>
      <c r="K12" s="129" t="n"/>
      <c r="L12" s="127" t="inlineStr">
        <is>
          <t>—</t>
        </is>
      </c>
      <c r="M12" s="129" t="n"/>
    </row>
    <row r="13" ht="30" customHeight="1">
      <c r="B13" s="127" t="inlineStr"/>
      <c r="C13" s="127" t="inlineStr">
        <is>
          <t>cap_08</t>
        </is>
      </c>
      <c r="D13" s="127" t="inlineStr">
        <is>
          <t>¿Se firmó finalmente el encargo de mediación?</t>
        </is>
      </c>
      <c r="E13" s="128" t="n"/>
      <c r="F13" s="127" t="inlineStr">
        <is>
          <t>Confirmar que tenemos título en el que fundamentar la reclamación.</t>
        </is>
      </c>
      <c r="G13" s="127" t="inlineStr">
        <is>
          <t>boolean</t>
        </is>
      </c>
      <c r="H13" s="127" t="inlineStr">
        <is>
          <t>encargo, crm</t>
        </is>
      </c>
      <c r="I13" s="129" t="n"/>
      <c r="J13" s="127" t="n"/>
      <c r="K13" s="129" t="n"/>
      <c r="L13" s="127" t="inlineStr">
        <is>
          <t>ENCARGO</t>
        </is>
      </c>
      <c r="M13" s="129" t="n"/>
    </row>
    <row r="14" ht="30" customHeight="1">
      <c r="B14" s="127" t="inlineStr"/>
      <c r="C14" s="127" t="inlineStr">
        <is>
          <t>cap_08b</t>
        </is>
      </c>
      <c r="D14" s="127" t="inlineStr">
        <is>
          <t>¿El encargo está completo (todas las páginas, todas las cláusulas)?</t>
        </is>
      </c>
      <c r="E14" s="128" t="n"/>
      <c r="F14" s="127" t="inlineStr">
        <is>
          <t>Sub-check de integridad documental del encargo.</t>
        </is>
      </c>
      <c r="G14" s="127" t="inlineStr">
        <is>
          <t>boolean</t>
        </is>
      </c>
      <c r="H14" s="127" t="inlineStr">
        <is>
          <t>encargo</t>
        </is>
      </c>
      <c r="I14" s="129" t="n"/>
      <c r="J14" s="127" t="n"/>
      <c r="K14" s="129" t="n"/>
      <c r="L14" s="127" t="inlineStr">
        <is>
          <t>ENCARGO</t>
        </is>
      </c>
      <c r="M14" s="129" t="n"/>
    </row>
    <row r="15" ht="30" customHeight="1">
      <c r="B15" s="127" t="inlineStr"/>
      <c r="C15" s="127" t="inlineStr">
        <is>
          <t>cap_08c</t>
        </is>
      </c>
      <c r="D15" s="127" t="inlineStr">
        <is>
          <t>¿Aparecen las firmas de TODOS los Clientes que figuran como tales en el encargo?</t>
        </is>
      </c>
      <c r="E15" s="128" t="n"/>
      <c r="F15" s="127" t="inlineStr">
        <is>
          <t>Sub-check de firmas completas.</t>
        </is>
      </c>
      <c r="G15" s="127" t="inlineStr">
        <is>
          <t>boolean</t>
        </is>
      </c>
      <c r="H15" s="127" t="inlineStr">
        <is>
          <t>encargo</t>
        </is>
      </c>
      <c r="I15" s="129" t="n"/>
      <c r="J15" s="127" t="n"/>
      <c r="K15" s="129" t="n"/>
      <c r="L15" s="127" t="inlineStr">
        <is>
          <t>ENCARGO</t>
        </is>
      </c>
      <c r="M15" s="129" t="n"/>
    </row>
    <row r="16" ht="30" customHeight="1">
      <c r="B16" s="127" t="inlineStr"/>
      <c r="C16" s="127" t="inlineStr">
        <is>
          <t>cap_08d</t>
        </is>
      </c>
      <c r="D16" s="127" t="inlineStr">
        <is>
          <t>Las firmas del encargo, ¿coinciden razonablemente con las de los DNI?</t>
        </is>
      </c>
      <c r="E16" s="128" t="n"/>
      <c r="F16" s="127" t="inlineStr">
        <is>
          <t>Sub-check de cotejo de firmas para prevenir impugnaciones.</t>
        </is>
      </c>
      <c r="G16" s="127" t="inlineStr">
        <is>
          <t>enum</t>
        </is>
      </c>
      <c r="H16" s="127" t="inlineStr">
        <is>
          <t>encargo, dni</t>
        </is>
      </c>
      <c r="I16" s="129" t="n"/>
      <c r="J16" s="127" t="n"/>
      <c r="K16" s="129" t="n"/>
      <c r="L16" s="127" t="inlineStr">
        <is>
          <t>ENCARGO</t>
        </is>
      </c>
      <c r="M16" s="129" t="n"/>
    </row>
    <row r="17" ht="30" customHeight="1">
      <c r="B17" s="127" t="inlineStr"/>
      <c r="C17" s="127" t="inlineStr">
        <is>
          <t>cap_09</t>
        </is>
      </c>
      <c r="D17" s="127" t="inlineStr">
        <is>
          <t>¿Se modificaron las condiciones del encargo (honorarios, precio, etc.)?</t>
        </is>
      </c>
      <c r="E17" s="128" t="n"/>
      <c r="F17" s="127" t="inlineStr">
        <is>
          <t>Si hubo modificación, comprobar si tenemos anexo o instrucciones del propietario.</t>
        </is>
      </c>
      <c r="G17" s="127" t="inlineStr">
        <is>
          <t>boolean</t>
        </is>
      </c>
      <c r="H17" s="127" t="inlineStr">
        <is>
          <t>encargo, email, whatsapp</t>
        </is>
      </c>
      <c r="I17" s="129" t="n"/>
      <c r="J17" s="127" t="n"/>
      <c r="K17" s="129" t="n"/>
      <c r="L17" s="127" t="inlineStr">
        <is>
          <t>—</t>
        </is>
      </c>
      <c r="M17" s="129" t="n"/>
    </row>
    <row r="18" ht="30" customHeight="1">
      <c r="B18" s="127" t="inlineStr"/>
      <c r="C18" s="127" t="inlineStr">
        <is>
          <t>cap_10</t>
        </is>
      </c>
      <c r="D18" s="127" t="inlineStr">
        <is>
          <t>¿Quién firmó el encargo por parte del propietario?</t>
        </is>
      </c>
      <c r="E18" s="128" t="n"/>
      <c r="F18" s="127" t="inlineStr">
        <is>
          <t>Analizar si hubo representante o mandato verbal.</t>
        </is>
      </c>
      <c r="G18" s="127" t="inlineStr">
        <is>
          <t>texto</t>
        </is>
      </c>
      <c r="H18" s="127" t="inlineStr">
        <is>
          <t>encargo</t>
        </is>
      </c>
      <c r="I18" s="129" t="n"/>
      <c r="J18" s="127" t="n"/>
      <c r="K18" s="129" t="n"/>
      <c r="L18" s="127" t="inlineStr">
        <is>
          <t>—</t>
        </is>
      </c>
      <c r="M18" s="129" t="n"/>
    </row>
    <row r="19" ht="30" customHeight="1">
      <c r="B19" s="127" t="inlineStr"/>
      <c r="C19" s="127" t="inlineStr">
        <is>
          <t>cap_11</t>
        </is>
      </c>
      <c r="D19" s="127" t="inlineStr">
        <is>
          <t>¿Cómo se firmó el encargo?</t>
        </is>
      </c>
      <c r="E19" s="128" t="n"/>
      <c r="F19" s="127" t="inlineStr">
        <is>
          <t>Identificar tipo de prueba (papel o electrónica vía DocuSign).</t>
        </is>
      </c>
      <c r="G19" s="127" t="inlineStr">
        <is>
          <t>enum</t>
        </is>
      </c>
      <c r="H19" s="127" t="inlineStr">
        <is>
          <t>encargo</t>
        </is>
      </c>
      <c r="I19" s="129" t="n"/>
      <c r="J19" s="127" t="n"/>
      <c r="K19" s="129" t="n"/>
      <c r="L19" s="127" t="inlineStr">
        <is>
          <t>—</t>
        </is>
      </c>
      <c r="M19" s="129" t="n"/>
    </row>
    <row r="20" ht="30" customHeight="1">
      <c r="B20" s="127" t="inlineStr"/>
      <c r="C20" s="127" t="inlineStr">
        <is>
          <t>cap_12</t>
        </is>
      </c>
      <c r="D20" s="127" t="inlineStr">
        <is>
          <t>¿Dónde se firmó el encargo y en qué circunstancias?</t>
        </is>
      </c>
      <c r="E20" s="128" t="n"/>
      <c r="F20" s="127" t="inlineStr">
        <is>
          <t>Valorar aplicación de normativa de consumidores sobre desistimiento.</t>
        </is>
      </c>
      <c r="G20" s="127" t="inlineStr">
        <is>
          <t>texto</t>
        </is>
      </c>
      <c r="H20" s="127" t="inlineStr">
        <is>
          <t>encargo, entrevista</t>
        </is>
      </c>
      <c r="I20" s="129" t="n"/>
      <c r="J20" s="127" t="n"/>
      <c r="K20" s="129" t="n"/>
      <c r="L20" s="127" t="inlineStr">
        <is>
          <t>—</t>
        </is>
      </c>
      <c r="M20" s="129" t="n"/>
    </row>
    <row r="21" ht="30" customHeight="1">
      <c r="B21" s="127" t="inlineStr"/>
      <c r="C21" s="127" t="inlineStr">
        <is>
          <t>cap_13</t>
        </is>
      </c>
      <c r="D21" s="127" t="inlineStr">
        <is>
          <t>¿Tenemos el original firmado del encargo?</t>
        </is>
      </c>
      <c r="E21" s="128" t="n"/>
      <c r="F21" s="127" t="inlineStr">
        <is>
          <t>Prever posibles impugnaciones de autenticidad.</t>
        </is>
      </c>
      <c r="G21" s="127" t="inlineStr">
        <is>
          <t>boolean</t>
        </is>
      </c>
      <c r="H21" s="127" t="inlineStr">
        <is>
          <t>encargo, crm</t>
        </is>
      </c>
      <c r="I21" s="129" t="n"/>
      <c r="J21" s="127" t="n"/>
      <c r="K21" s="129" t="n"/>
      <c r="L21" s="127" t="inlineStr">
        <is>
          <t>ENCARGO</t>
        </is>
      </c>
      <c r="M21" s="129" t="n"/>
    </row>
    <row r="22" ht="30" customHeight="1">
      <c r="B22" s="127" t="inlineStr"/>
      <c r="C22" s="127" t="inlineStr">
        <is>
          <t>cap_14</t>
        </is>
      </c>
      <c r="D22" s="127" t="inlineStr">
        <is>
          <t>¿El propietario te dio poderes o autorización para comercializar? ¿Cómo se acredita?</t>
        </is>
      </c>
      <c r="E22" s="128" t="n"/>
      <c r="F22" s="127" t="inlineStr">
        <is>
          <t>Valorar la suficiencia de la representación.</t>
        </is>
      </c>
      <c r="G22" s="127" t="inlineStr">
        <is>
          <t>texto</t>
        </is>
      </c>
      <c r="H22" s="127" t="inlineStr">
        <is>
          <t>encargo, email, entrevista</t>
        </is>
      </c>
      <c r="I22" s="129" t="n"/>
      <c r="J22" s="127" t="n"/>
      <c r="K22" s="129" t="n"/>
      <c r="L22" s="127" t="inlineStr">
        <is>
          <t>—</t>
        </is>
      </c>
      <c r="M22" s="129" t="n"/>
    </row>
    <row r="23" ht="30" customHeight="1">
      <c r="B23" s="127" t="inlineStr"/>
      <c r="C23" s="127" t="inlineStr">
        <is>
          <t>cap_15</t>
        </is>
      </c>
      <c r="D23" s="127" t="inlineStr">
        <is>
          <t>¿Teníamos llaves del inmueble?</t>
        </is>
      </c>
      <c r="E23" s="128" t="n"/>
      <c r="F23" s="127" t="inlineStr">
        <is>
          <t>Entender la dinámica de las visitas.</t>
        </is>
      </c>
      <c r="G23" s="127" t="inlineStr">
        <is>
          <t>boolean</t>
        </is>
      </c>
      <c r="H23" s="127" t="inlineStr">
        <is>
          <t>entrevista, email</t>
        </is>
      </c>
      <c r="I23" s="129" t="n"/>
      <c r="J23" s="127" t="n"/>
      <c r="K23" s="129" t="n"/>
      <c r="L23" s="127" t="inlineStr">
        <is>
          <t>—</t>
        </is>
      </c>
      <c r="M23" s="129" t="n"/>
    </row>
    <row r="24" ht="30" customHeight="1">
      <c r="B24" s="127" t="inlineStr"/>
      <c r="C24" s="127" t="inlineStr">
        <is>
          <t>cap_16</t>
        </is>
      </c>
      <c r="D24" s="127" t="inlineStr">
        <is>
          <t>¿El propietario solía estar presente en las visitas?</t>
        </is>
      </c>
      <c r="E24" s="128" t="n"/>
      <c r="F24" s="127" t="inlineStr">
        <is>
          <t>Valorar si pudo conocer al buscador (relevante para vueltas).</t>
        </is>
      </c>
      <c r="G24" s="127" t="inlineStr">
        <is>
          <t>boolean</t>
        </is>
      </c>
      <c r="H24" s="127" t="inlineStr">
        <is>
          <t>entrevista, hoja_visita</t>
        </is>
      </c>
      <c r="I24" s="129" t="n"/>
      <c r="J24" s="127" t="n"/>
      <c r="K24" s="129" t="n"/>
      <c r="L24" s="127" t="inlineStr">
        <is>
          <t>—</t>
        </is>
      </c>
      <c r="M24" s="129" t="n"/>
    </row>
    <row r="25" ht="30" customHeight="1">
      <c r="B25" s="127" t="inlineStr"/>
      <c r="C25" s="127" t="inlineStr">
        <is>
          <t>cap_17</t>
        </is>
      </c>
      <c r="D25" s="127" t="inlineStr">
        <is>
          <t>¿Disponemos de copia del DNI de todos los Clientes propietarios?</t>
        </is>
      </c>
      <c r="E25" s="128" t="n"/>
      <c r="F25" s="127" t="inlineStr">
        <is>
          <t>Acreditar identificación documental de los deudores.</t>
        </is>
      </c>
      <c r="G25" s="127" t="inlineStr">
        <is>
          <t>boolean</t>
        </is>
      </c>
      <c r="H25" s="127" t="inlineStr">
        <is>
          <t>dni, crm</t>
        </is>
      </c>
      <c r="I25" s="129" t="n"/>
      <c r="J25" s="127" t="n"/>
      <c r="K25" s="129" t="n"/>
      <c r="L25" s="127" t="inlineStr">
        <is>
          <t>IDENT. PROPIETARIO</t>
        </is>
      </c>
      <c r="M25" s="129" t="n"/>
    </row>
    <row r="26" ht="30" customHeight="1">
      <c r="B26" s="127" t="inlineStr"/>
      <c r="C26" s="127" t="inlineStr">
        <is>
          <t>cap_18a</t>
        </is>
      </c>
      <c r="D26" s="127" t="inlineStr">
        <is>
          <t>¿Existe nota simple de la propiedad pedida en la captación?</t>
        </is>
      </c>
      <c r="E26" s="128" t="n"/>
      <c r="F26" s="127" t="inlineStr">
        <is>
          <t>Acreditar titularidad del inmueble en el momento del encargo.</t>
        </is>
      </c>
      <c r="G26" s="127" t="inlineStr">
        <is>
          <t>boolean</t>
        </is>
      </c>
      <c r="H26" s="127" t="inlineStr">
        <is>
          <t>nota_simple, crm</t>
        </is>
      </c>
      <c r="I26" s="129" t="n"/>
      <c r="J26" s="127" t="n"/>
      <c r="K26" s="129" t="n"/>
      <c r="L26" s="127" t="inlineStr">
        <is>
          <t>TITULARIDAD</t>
        </is>
      </c>
      <c r="M26" s="129" t="n"/>
    </row>
    <row r="27" ht="30" customHeight="1">
      <c r="B27" s="127" t="inlineStr"/>
      <c r="C27" s="127" t="inlineStr">
        <is>
          <t>cap_18b</t>
        </is>
      </c>
      <c r="D27" s="127" t="inlineStr">
        <is>
          <t>Fecha de la nota simple de la captación.</t>
        </is>
      </c>
      <c r="E27" s="128" t="n"/>
      <c r="F27" s="127" t="inlineStr">
        <is>
          <t>Datar el documento de titularidad.</t>
        </is>
      </c>
      <c r="G27" s="127" t="inlineStr">
        <is>
          <t>fecha</t>
        </is>
      </c>
      <c r="H27" s="127" t="inlineStr">
        <is>
          <t>nota_simple</t>
        </is>
      </c>
      <c r="I27" s="129" t="n"/>
      <c r="J27" s="127" t="n"/>
      <c r="K27" s="129" t="n"/>
      <c r="L27" s="127" t="inlineStr">
        <is>
          <t>TITULARIDAD</t>
        </is>
      </c>
      <c r="M27" s="129" t="n"/>
    </row>
    <row r="28" ht="30" customHeight="1">
      <c r="B28" s="127" t="inlineStr"/>
      <c r="C28" s="127" t="inlineStr">
        <is>
          <t>cap_18c</t>
        </is>
      </c>
      <c r="D28" s="127" t="inlineStr">
        <is>
          <t>Los titulares de la nota simple, ¿coinciden con los Clientes del encargo?</t>
        </is>
      </c>
      <c r="E28" s="128" t="n"/>
      <c r="F28" s="127" t="inlineStr">
        <is>
          <t>Detectar problemas de representación o titularidad indirecta.</t>
        </is>
      </c>
      <c r="G28" s="127" t="inlineStr">
        <is>
          <t>boolean</t>
        </is>
      </c>
      <c r="H28" s="127" t="inlineStr">
        <is>
          <t>nota_simple, encargo</t>
        </is>
      </c>
      <c r="I28" s="129" t="n"/>
      <c r="J28" s="127" t="n"/>
      <c r="K28" s="129" t="n"/>
      <c r="L28" s="127" t="inlineStr">
        <is>
          <t>TITULARIDAD</t>
        </is>
      </c>
      <c r="M28" s="129" t="n"/>
    </row>
    <row r="29">
      <c r="B29" s="145" t="inlineStr">
        <is>
          <t>2. Comercialización</t>
        </is>
      </c>
    </row>
    <row r="30" ht="30" customHeight="1">
      <c r="B30" s="127" t="inlineStr"/>
      <c r="C30" s="127" t="inlineStr">
        <is>
          <t>com_01</t>
        </is>
      </c>
      <c r="D30" s="127" t="inlineStr">
        <is>
          <t>¿Cuántas visitas aproximadamente se realizaron al inmueble?</t>
        </is>
      </c>
      <c r="E30" s="128" t="n"/>
      <c r="F30" s="127" t="inlineStr">
        <is>
          <t>Medir el alcance de la actividad mediadora.</t>
        </is>
      </c>
      <c r="G30" s="127" t="inlineStr">
        <is>
          <t>número</t>
        </is>
      </c>
      <c r="H30" s="127" t="inlineStr">
        <is>
          <t>hoja_visita, crm, entrevista</t>
        </is>
      </c>
      <c r="I30" s="129" t="n"/>
      <c r="J30" s="127" t="n"/>
      <c r="K30" s="129" t="n"/>
      <c r="L30" s="127" t="inlineStr">
        <is>
          <t>ACTIVIDADES</t>
        </is>
      </c>
      <c r="M30" s="129" t="n"/>
    </row>
    <row r="31" ht="30" customHeight="1">
      <c r="B31" s="127" t="inlineStr"/>
      <c r="C31" s="127" t="inlineStr">
        <is>
          <t>com_02</t>
        </is>
      </c>
      <c r="D31" s="127" t="inlineStr">
        <is>
          <t>¿Cuántos exposés del inmueble se enviaron?</t>
        </is>
      </c>
      <c r="E31" s="128" t="n"/>
      <c r="F31" s="127" t="inlineStr">
        <is>
          <t>Medir el alcance de la actividad mediadora.</t>
        </is>
      </c>
      <c r="G31" s="127" t="inlineStr">
        <is>
          <t>número</t>
        </is>
      </c>
      <c r="H31" s="127" t="inlineStr">
        <is>
          <t>crm, email, entrevista</t>
        </is>
      </c>
      <c r="I31" s="129" t="n"/>
      <c r="J31" s="127" t="n"/>
      <c r="K31" s="129" t="n"/>
      <c r="L31" s="127" t="inlineStr">
        <is>
          <t>ACTIVIDADES</t>
        </is>
      </c>
      <c r="M31" s="129" t="n"/>
    </row>
    <row r="32">
      <c r="B32" s="145" t="inlineStr">
        <is>
          <t>3. Visitas</t>
        </is>
      </c>
    </row>
    <row r="33" ht="30" customHeight="1">
      <c r="B33" s="127" t="inlineStr"/>
      <c r="C33" s="127" t="inlineStr">
        <is>
          <t>vis_00</t>
        </is>
      </c>
      <c r="D33" s="127" t="inlineStr">
        <is>
          <t>¿La hoja de visita es relevante en este caso?</t>
        </is>
      </c>
      <c r="E33" s="128" t="n"/>
      <c r="F33" s="127" t="inlineStr">
        <is>
          <t>Determinar si el hito HOJA DE VISITA aplica al expediente.</t>
        </is>
      </c>
      <c r="G33" s="127" t="inlineStr">
        <is>
          <t>boolean</t>
        </is>
      </c>
      <c r="H33" s="127" t="inlineStr">
        <is>
          <t>entrevista</t>
        </is>
      </c>
      <c r="I33" s="129" t="n"/>
      <c r="J33" s="127" t="n"/>
      <c r="K33" s="129" t="n"/>
      <c r="L33" s="127" t="inlineStr">
        <is>
          <t>HOJA DE VISITA</t>
        </is>
      </c>
      <c r="M33" s="129" t="n"/>
    </row>
    <row r="34" ht="30" customHeight="1">
      <c r="B34" s="127" t="inlineStr"/>
      <c r="C34" s="127" t="inlineStr">
        <is>
          <t>vis_01</t>
        </is>
      </c>
      <c r="D34" s="127" t="inlineStr">
        <is>
          <t>¿Cómo llegó el lead del buscador?</t>
        </is>
      </c>
      <c r="E34" s="128" t="n"/>
      <c r="F34" s="127" t="inlineStr">
        <is>
          <t>Acreditar el origen del contacto (Idealista, web E&amp;V...).</t>
        </is>
      </c>
      <c r="G34" s="127" t="inlineStr">
        <is>
          <t>texto</t>
        </is>
      </c>
      <c r="H34" s="127" t="inlineStr">
        <is>
          <t>crm, email, entrevista</t>
        </is>
      </c>
      <c r="I34" s="129" t="n"/>
      <c r="J34" s="127" t="n"/>
      <c r="K34" s="129" t="n"/>
      <c r="L34" s="127" t="inlineStr">
        <is>
          <t>—</t>
        </is>
      </c>
      <c r="M34" s="129" t="n"/>
    </row>
    <row r="35" ht="30" customHeight="1">
      <c r="B35" s="127" t="inlineStr"/>
      <c r="C35" s="127" t="inlineStr">
        <is>
          <t>vis_02</t>
        </is>
      </c>
      <c r="D35" s="127" t="inlineStr">
        <is>
          <t>¿Con quién tratabas por parte del buscador? Nombre y apellidos.</t>
        </is>
      </c>
      <c r="E35" s="128" t="n"/>
      <c r="F35" s="127" t="inlineStr">
        <is>
          <t>Identificar pruebas documentales (e-mail, WhatsApp).</t>
        </is>
      </c>
      <c r="G35" s="127" t="inlineStr">
        <is>
          <t>texto</t>
        </is>
      </c>
      <c r="H35" s="127" t="inlineStr">
        <is>
          <t>hoja_visita, email, whatsapp</t>
        </is>
      </c>
      <c r="I35" s="129" t="n"/>
      <c r="J35" s="127" t="n"/>
      <c r="K35" s="129" t="n"/>
      <c r="L35" s="127" t="inlineStr">
        <is>
          <t>—</t>
        </is>
      </c>
      <c r="M35" s="129" t="n"/>
    </row>
    <row r="36" ht="30" customHeight="1">
      <c r="B36" s="127" t="inlineStr"/>
      <c r="C36" s="127" t="inlineStr">
        <is>
          <t>vis_03</t>
        </is>
      </c>
      <c r="D36" s="127" t="inlineStr">
        <is>
          <t>¿Cómo os comunicabais?</t>
        </is>
      </c>
      <c r="E36" s="128" t="n"/>
      <c r="F36" s="127" t="inlineStr">
        <is>
          <t>Identificar medios de prueba de la gestión.</t>
        </is>
      </c>
      <c r="G36" s="127" t="inlineStr">
        <is>
          <t>texto</t>
        </is>
      </c>
      <c r="H36" s="127" t="inlineStr">
        <is>
          <t>email, whatsapp, entrevista</t>
        </is>
      </c>
      <c r="I36" s="129" t="n"/>
      <c r="J36" s="127" t="n"/>
      <c r="K36" s="129" t="n"/>
      <c r="L36" s="127" t="inlineStr">
        <is>
          <t>—</t>
        </is>
      </c>
      <c r="M36" s="129" t="n"/>
    </row>
    <row r="37" ht="30" customHeight="1">
      <c r="B37" s="127" t="inlineStr"/>
      <c r="C37" s="127" t="inlineStr">
        <is>
          <t>vis_04</t>
        </is>
      </c>
      <c r="D37" s="127" t="inlineStr">
        <is>
          <t>¿Le enviaste el exposé del inmueble? ¿Cómo?</t>
        </is>
      </c>
      <c r="E37" s="128" t="n"/>
      <c r="F37" s="127" t="inlineStr">
        <is>
          <t>Acreditar actividad mediadora con el buscador.</t>
        </is>
      </c>
      <c r="G37" s="127" t="inlineStr">
        <is>
          <t>enum</t>
        </is>
      </c>
      <c r="H37" s="127" t="inlineStr">
        <is>
          <t>crm, email, whatsapp</t>
        </is>
      </c>
      <c r="I37" s="129" t="n"/>
      <c r="J37" s="127" t="n"/>
      <c r="K37" s="129" t="n"/>
      <c r="L37" s="127" t="inlineStr">
        <is>
          <t>—</t>
        </is>
      </c>
      <c r="M37" s="129" t="n"/>
    </row>
    <row r="38" ht="30" customHeight="1">
      <c r="B38" s="127" t="inlineStr"/>
      <c r="C38" s="127" t="inlineStr">
        <is>
          <t>vis_05</t>
        </is>
      </c>
      <c r="D38" s="127" t="inlineStr">
        <is>
          <t>¿El buscador firmó hoja de visita?</t>
        </is>
      </c>
      <c r="E38" s="128" t="n"/>
      <c r="F38" s="127" t="inlineStr">
        <is>
          <t>Acreditar la visita.</t>
        </is>
      </c>
      <c r="G38" s="127" t="inlineStr">
        <is>
          <t>boolean</t>
        </is>
      </c>
      <c r="H38" s="127" t="inlineStr">
        <is>
          <t>hoja_visita</t>
        </is>
      </c>
      <c r="I38" s="129" t="n"/>
      <c r="J38" s="127" t="n"/>
      <c r="K38" s="129" t="n"/>
      <c r="L38" s="127" t="inlineStr">
        <is>
          <t>HOJA DE VISITA</t>
        </is>
      </c>
      <c r="M38" s="129" t="n"/>
    </row>
    <row r="39" ht="30" customHeight="1">
      <c r="B39" s="127" t="inlineStr"/>
      <c r="C39" s="127" t="inlineStr">
        <is>
          <t>vis_06</t>
        </is>
      </c>
      <c r="D39" s="127" t="inlineStr">
        <is>
          <t>¿Tenemos copia o el original de la hoja de visita?</t>
        </is>
      </c>
      <c r="E39" s="128" t="n"/>
      <c r="F39" s="127" t="inlineStr">
        <is>
          <t>Asegurar medio de prueba.</t>
        </is>
      </c>
      <c r="G39" s="127" t="inlineStr">
        <is>
          <t>enum</t>
        </is>
      </c>
      <c r="H39" s="127" t="inlineStr">
        <is>
          <t>hoja_visita, crm</t>
        </is>
      </c>
      <c r="I39" s="129" t="n"/>
      <c r="J39" s="127" t="n"/>
      <c r="K39" s="129" t="n"/>
      <c r="L39" s="127" t="inlineStr">
        <is>
          <t>HOJA DE VISITA</t>
        </is>
      </c>
      <c r="M39" s="129" t="n"/>
    </row>
    <row r="40" ht="30" customHeight="1">
      <c r="B40" s="127" t="inlineStr"/>
      <c r="C40" s="127" t="inlineStr">
        <is>
          <t>vis_07</t>
        </is>
      </c>
      <c r="D40" s="127" t="inlineStr">
        <is>
          <t>¿Cuántas visitas hizo el buscador al inmueble?</t>
        </is>
      </c>
      <c r="E40" s="128" t="n"/>
      <c r="F40" s="127" t="inlineStr">
        <is>
          <t>Acreditar la intensidad del contacto agencia-buscador.</t>
        </is>
      </c>
      <c r="G40" s="127" t="inlineStr">
        <is>
          <t>número</t>
        </is>
      </c>
      <c r="H40" s="127" t="inlineStr">
        <is>
          <t>hoja_visita, entrevista</t>
        </is>
      </c>
      <c r="I40" s="129" t="n"/>
      <c r="J40" s="127" t="n"/>
      <c r="K40" s="129" t="n"/>
      <c r="L40" s="127" t="inlineStr">
        <is>
          <t>—</t>
        </is>
      </c>
      <c r="M40" s="129" t="n"/>
    </row>
    <row r="41" ht="30" customHeight="1">
      <c r="B41" s="127" t="inlineStr"/>
      <c r="C41" s="127" t="inlineStr">
        <is>
          <t>vis_08</t>
        </is>
      </c>
      <c r="D41" s="127" t="inlineStr">
        <is>
          <t>¿Quién estuvo presente en las visitas?</t>
        </is>
      </c>
      <c r="E41" s="128" t="n"/>
      <c r="F41" s="127" t="inlineStr">
        <is>
          <t>Reconstruir las circunstancias.</t>
        </is>
      </c>
      <c r="G41" s="127" t="inlineStr">
        <is>
          <t>texto</t>
        </is>
      </c>
      <c r="H41" s="127" t="inlineStr">
        <is>
          <t>hoja_visita, entrevista</t>
        </is>
      </c>
      <c r="I41" s="129" t="n"/>
      <c r="J41" s="127" t="n"/>
      <c r="K41" s="129" t="n"/>
      <c r="L41" s="127" t="inlineStr">
        <is>
          <t>—</t>
        </is>
      </c>
      <c r="M41" s="129" t="n"/>
    </row>
    <row r="42" ht="30" customHeight="1">
      <c r="B42" s="127" t="inlineStr"/>
      <c r="C42" s="127" t="inlineStr">
        <is>
          <t>vis_09</t>
        </is>
      </c>
      <c r="D42" s="127" t="inlineStr">
        <is>
          <t>¿Disponemos de copia del DNI de todos los Clientes buscadores?</t>
        </is>
      </c>
      <c r="E42" s="128" t="n"/>
      <c r="F42" s="127" t="inlineStr">
        <is>
          <t>Acreditar identificación documental del buscador.</t>
        </is>
      </c>
      <c r="G42" s="127" t="inlineStr">
        <is>
          <t>boolean</t>
        </is>
      </c>
      <c r="H42" s="127" t="inlineStr">
        <is>
          <t>dni, crm</t>
        </is>
      </c>
      <c r="I42" s="129" t="n"/>
      <c r="J42" s="127" t="n"/>
      <c r="K42" s="129" t="n"/>
      <c r="L42" s="127" t="inlineStr">
        <is>
          <t>IDENT. BUSCADOR</t>
        </is>
      </c>
      <c r="M42" s="129" t="n"/>
    </row>
    <row r="43" ht="30" customHeight="1">
      <c r="B43" s="127" t="inlineStr"/>
      <c r="C43" s="127" t="inlineStr">
        <is>
          <t>vis_10</t>
        </is>
      </c>
      <c r="D43" s="127" t="inlineStr">
        <is>
          <t>Las firmas de los buscadores en la oferta, ¿coinciden con las de sus DNI?</t>
        </is>
      </c>
      <c r="E43" s="128" t="n"/>
      <c r="F43" s="127" t="inlineStr">
        <is>
          <t>Sub-check de cotejo de firmas oferta vs DNI buscador.</t>
        </is>
      </c>
      <c r="G43" s="127" t="inlineStr">
        <is>
          <t>enum</t>
        </is>
      </c>
      <c r="H43" s="127" t="inlineStr">
        <is>
          <t>oferta, dni</t>
        </is>
      </c>
      <c r="I43" s="129" t="n"/>
      <c r="J43" s="127" t="n"/>
      <c r="K43" s="129" t="n"/>
      <c r="L43" s="127" t="inlineStr">
        <is>
          <t>IDENT. BUSCADOR</t>
        </is>
      </c>
      <c r="M43" s="129" t="n"/>
    </row>
    <row r="44">
      <c r="B44" s="145" t="inlineStr">
        <is>
          <t>4. Oferta — buscador</t>
        </is>
      </c>
    </row>
    <row r="45" ht="30" customHeight="1">
      <c r="B45" s="127" t="inlineStr"/>
      <c r="C45" s="127" t="inlineStr">
        <is>
          <t>ofb_01</t>
        </is>
      </c>
      <c r="D45" s="127" t="inlineStr">
        <is>
          <t>¿Cuántas ofertas hizo el buscador (incluso no formales) y cuál era el precio?</t>
        </is>
      </c>
      <c r="E45" s="128" t="n"/>
      <c r="F45" s="127" t="inlineStr">
        <is>
          <t>Incluye ofertas verbales o por WhatsApp.</t>
        </is>
      </c>
      <c r="G45" s="127" t="inlineStr">
        <is>
          <t>texto</t>
        </is>
      </c>
      <c r="H45" s="127" t="inlineStr">
        <is>
          <t>oferta, email, whatsapp, entrevista</t>
        </is>
      </c>
      <c r="I45" s="129" t="n"/>
      <c r="J45" s="127" t="n"/>
      <c r="K45" s="129" t="n"/>
      <c r="L45" s="127" t="inlineStr">
        <is>
          <t>—</t>
        </is>
      </c>
      <c r="M45" s="129" t="n"/>
    </row>
    <row r="46" ht="30" customHeight="1">
      <c r="B46" s="127" t="inlineStr"/>
      <c r="C46" s="127" t="inlineStr">
        <is>
          <t>ofb_02</t>
        </is>
      </c>
      <c r="D46" s="127" t="inlineStr">
        <is>
          <t>¿Cuántas se formalizaron por escrito y cuál era el precio?</t>
        </is>
      </c>
      <c r="E46" s="128" t="n"/>
      <c r="F46" s="127" t="inlineStr">
        <is>
          <t>Formularios de oferta o cualquier documento.</t>
        </is>
      </c>
      <c r="G46" s="127" t="inlineStr">
        <is>
          <t>texto</t>
        </is>
      </c>
      <c r="H46" s="127" t="inlineStr">
        <is>
          <t>oferta, crm</t>
        </is>
      </c>
      <c r="I46" s="129" t="n"/>
      <c r="J46" s="127" t="n"/>
      <c r="K46" s="129" t="n"/>
      <c r="L46" s="127" t="inlineStr">
        <is>
          <t>—</t>
        </is>
      </c>
      <c r="M46" s="129" t="n"/>
    </row>
    <row r="47" ht="30" customHeight="1">
      <c r="B47" s="127" t="inlineStr"/>
      <c r="C47" s="127" t="inlineStr">
        <is>
          <t>ofb_03</t>
        </is>
      </c>
      <c r="D47" s="127" t="inlineStr">
        <is>
          <t>¿Dónde y cómo firmó el buscador la oferta?</t>
        </is>
      </c>
      <c r="E47" s="128" t="n"/>
      <c r="F47" s="127" t="inlineStr">
        <is>
          <t>Acreditar consentimiento documentado.</t>
        </is>
      </c>
      <c r="G47" s="127" t="inlineStr">
        <is>
          <t>texto</t>
        </is>
      </c>
      <c r="H47" s="127" t="inlineStr">
        <is>
          <t>oferta, entrevista</t>
        </is>
      </c>
      <c r="I47" s="129" t="n"/>
      <c r="J47" s="127" t="n"/>
      <c r="K47" s="129" t="n"/>
      <c r="L47" s="127" t="inlineStr">
        <is>
          <t>—</t>
        </is>
      </c>
      <c r="M47" s="129" t="n"/>
    </row>
    <row r="48" ht="30" customHeight="1">
      <c r="B48" s="127" t="inlineStr"/>
      <c r="C48" s="127" t="inlineStr">
        <is>
          <t>ofb_04</t>
        </is>
      </c>
      <c r="D48" s="127" t="inlineStr">
        <is>
          <t>¿Cómo te envió la oferta?</t>
        </is>
      </c>
      <c r="E48" s="128" t="n"/>
      <c r="F48" s="127" t="inlineStr">
        <is>
          <t>email, WhatsApp, presencial.</t>
        </is>
      </c>
      <c r="G48" s="127" t="inlineStr">
        <is>
          <t>enum</t>
        </is>
      </c>
      <c r="H48" s="127" t="inlineStr">
        <is>
          <t>email, whatsapp, oferta</t>
        </is>
      </c>
      <c r="I48" s="129" t="n"/>
      <c r="J48" s="127" t="n"/>
      <c r="K48" s="129" t="n"/>
      <c r="L48" s="127" t="inlineStr">
        <is>
          <t>—</t>
        </is>
      </c>
      <c r="M48" s="129" t="n"/>
    </row>
    <row r="49" ht="30" customHeight="1">
      <c r="B49" s="127" t="inlineStr"/>
      <c r="C49" s="127" t="inlineStr">
        <is>
          <t>ofb_05</t>
        </is>
      </c>
      <c r="D49" s="127" t="inlineStr">
        <is>
          <t>¿Tenemos el original firmado de la oferta?</t>
        </is>
      </c>
      <c r="E49" s="128" t="n"/>
      <c r="F49" s="127" t="inlineStr">
        <is>
          <t>Prever impugnaciones de autenticidad. Implica existe + firmada por buscador.</t>
        </is>
      </c>
      <c r="G49" s="127" t="inlineStr">
        <is>
          <t>boolean</t>
        </is>
      </c>
      <c r="H49" s="127" t="inlineStr">
        <is>
          <t>oferta, crm</t>
        </is>
      </c>
      <c r="I49" s="129" t="n"/>
      <c r="J49" s="127" t="n"/>
      <c r="K49" s="129" t="n"/>
      <c r="L49" s="127" t="inlineStr">
        <is>
          <t>OFERTA</t>
        </is>
      </c>
      <c r="M49" s="129" t="n"/>
    </row>
    <row r="50" ht="30" customHeight="1">
      <c r="B50" s="127" t="inlineStr"/>
      <c r="C50" s="127" t="inlineStr">
        <is>
          <t>ofb_06</t>
        </is>
      </c>
      <c r="D50" s="127" t="inlineStr">
        <is>
          <t>¿El buscador entregó señal o reserva? ¿Por qué importe?</t>
        </is>
      </c>
      <c r="E50" s="128" t="n"/>
      <c r="F50" s="127" t="inlineStr">
        <is>
          <t>Normalmente consta en la oferta.</t>
        </is>
      </c>
      <c r="G50" s="127" t="inlineStr">
        <is>
          <t>texto</t>
        </is>
      </c>
      <c r="H50" s="127" t="inlineStr">
        <is>
          <t>oferta, crm</t>
        </is>
      </c>
      <c r="I50" s="129" t="n"/>
      <c r="J50" s="127" t="n"/>
      <c r="K50" s="129" t="n"/>
      <c r="L50" s="127" t="inlineStr">
        <is>
          <t>—</t>
        </is>
      </c>
      <c r="M50" s="129" t="n"/>
    </row>
    <row r="51" ht="30" customHeight="1">
      <c r="B51" s="127" t="inlineStr"/>
      <c r="C51" s="127" t="inlineStr">
        <is>
          <t>ofb_07</t>
        </is>
      </c>
      <c r="D51" s="127" t="inlineStr">
        <is>
          <t>¿Se devolvió esa cantidad? ¿En qué circunstancias?</t>
        </is>
      </c>
      <c r="E51" s="128" t="n"/>
      <c r="F51" s="127" t="inlineStr">
        <is>
          <t>Documentar destino de la reserva.</t>
        </is>
      </c>
      <c r="G51" s="127" t="inlineStr">
        <is>
          <t>texto</t>
        </is>
      </c>
      <c r="H51" s="127" t="inlineStr">
        <is>
          <t>crm, email, entrevista</t>
        </is>
      </c>
      <c r="I51" s="129" t="n"/>
      <c r="J51" s="127" t="n"/>
      <c r="K51" s="129" t="n"/>
      <c r="L51" s="127" t="inlineStr">
        <is>
          <t>—</t>
        </is>
      </c>
      <c r="M51" s="129" t="n"/>
    </row>
    <row r="52" ht="30" customHeight="1">
      <c r="B52" s="127" t="inlineStr"/>
      <c r="C52" s="127" t="inlineStr">
        <is>
          <t>ofb_08</t>
        </is>
      </c>
      <c r="D52" s="127" t="inlineStr">
        <is>
          <t>¿Firmó compromiso de seriedad de oferta? (solo Madrid)</t>
        </is>
      </c>
      <c r="E52" s="128" t="n"/>
      <c r="F52" s="127" t="inlineStr">
        <is>
          <t>Documento específico del flujo Madrid.</t>
        </is>
      </c>
      <c r="G52" s="127" t="inlineStr">
        <is>
          <t>boolean</t>
        </is>
      </c>
      <c r="H52" s="127" t="inlineStr">
        <is>
          <t>oferta, crm</t>
        </is>
      </c>
      <c r="I52" s="129" t="n"/>
      <c r="J52" s="127" t="n"/>
      <c r="K52" s="129" t="n"/>
      <c r="L52" s="127" t="inlineStr">
        <is>
          <t>—</t>
        </is>
      </c>
      <c r="M52" s="129" t="n"/>
    </row>
    <row r="53" ht="30" customHeight="1">
      <c r="B53" s="127" t="inlineStr"/>
      <c r="C53" s="127" t="inlineStr">
        <is>
          <t>ofb_09</t>
        </is>
      </c>
      <c r="D53" s="127" t="inlineStr">
        <is>
          <t>¿Tenemos el original del compromiso de seriedad?</t>
        </is>
      </c>
      <c r="E53" s="128" t="n"/>
      <c r="F53" s="127" t="inlineStr">
        <is>
          <t>Asegurar prueba documental.</t>
        </is>
      </c>
      <c r="G53" s="127" t="inlineStr">
        <is>
          <t>boolean</t>
        </is>
      </c>
      <c r="H53" s="127" t="inlineStr">
        <is>
          <t>oferta, crm</t>
        </is>
      </c>
      <c r="I53" s="129" t="n"/>
      <c r="J53" s="127" t="n"/>
      <c r="K53" s="129" t="n"/>
      <c r="L53" s="127" t="inlineStr">
        <is>
          <t>—</t>
        </is>
      </c>
      <c r="M53" s="129" t="n"/>
    </row>
    <row r="54">
      <c r="B54" s="145" t="inlineStr">
        <is>
          <t>5. Comunicación interna</t>
        </is>
      </c>
    </row>
    <row r="55" ht="30" customHeight="1">
      <c r="B55" s="127" t="inlineStr"/>
      <c r="C55" s="127" t="inlineStr">
        <is>
          <t>cin_01</t>
        </is>
      </c>
      <c r="D55" s="127" t="inlineStr">
        <is>
          <t>¿Se creó un grupo o canal interno (p. ej. WhatsApp)?</t>
        </is>
      </c>
      <c r="E55" s="128" t="n"/>
      <c r="F55" s="127" t="inlineStr">
        <is>
          <t>Acreditar coordinación interna del equipo.</t>
        </is>
      </c>
      <c r="G55" s="127" t="inlineStr">
        <is>
          <t>boolean</t>
        </is>
      </c>
      <c r="H55" s="127" t="inlineStr">
        <is>
          <t>whatsapp, email, entrevista</t>
        </is>
      </c>
      <c r="I55" s="129" t="n"/>
      <c r="J55" s="127" t="n"/>
      <c r="K55" s="129" t="n"/>
      <c r="L55" s="127" t="inlineStr">
        <is>
          <t>—</t>
        </is>
      </c>
      <c r="M55" s="129" t="n"/>
    </row>
    <row r="56" ht="30" customHeight="1">
      <c r="B56" s="127" t="inlineStr"/>
      <c r="C56" s="127" t="inlineStr">
        <is>
          <t>cin_02</t>
        </is>
      </c>
      <c r="D56" s="127" t="inlineStr">
        <is>
          <t>¿Quién participaba en ese canal?</t>
        </is>
      </c>
      <c r="E56" s="128" t="n"/>
      <c r="F56" s="127" t="inlineStr">
        <is>
          <t>Identificar potenciales testigos del equipo.</t>
        </is>
      </c>
      <c r="G56" s="127" t="inlineStr">
        <is>
          <t>texto</t>
        </is>
      </c>
      <c r="H56" s="127" t="inlineStr">
        <is>
          <t>whatsapp, entrevista</t>
        </is>
      </c>
      <c r="I56" s="129" t="n"/>
      <c r="J56" s="127" t="n"/>
      <c r="K56" s="129" t="n"/>
      <c r="L56" s="127" t="inlineStr">
        <is>
          <t>—</t>
        </is>
      </c>
      <c r="M56" s="129" t="n"/>
    </row>
    <row r="57" ht="30" customHeight="1">
      <c r="B57" s="127" t="inlineStr"/>
      <c r="C57" s="127" t="inlineStr">
        <is>
          <t>cin_03</t>
        </is>
      </c>
      <c r="D57" s="127" t="inlineStr">
        <is>
          <t>¿Se compartían ofertas y evolución de la operación?</t>
        </is>
      </c>
      <c r="E57" s="128" t="n"/>
      <c r="F57" s="127" t="inlineStr">
        <is>
          <t>Reconstruir la actividad de coordinación.</t>
        </is>
      </c>
      <c r="G57" s="127" t="inlineStr">
        <is>
          <t>boolean</t>
        </is>
      </c>
      <c r="H57" s="127" t="inlineStr">
        <is>
          <t>whatsapp, email</t>
        </is>
      </c>
      <c r="I57" s="129" t="n"/>
      <c r="J57" s="127" t="n"/>
      <c r="K57" s="129" t="n"/>
      <c r="L57" s="127" t="inlineStr">
        <is>
          <t>—</t>
        </is>
      </c>
      <c r="M57" s="129" t="n"/>
    </row>
    <row r="58">
      <c r="B58" s="145" t="inlineStr">
        <is>
          <t>6. Comunicación agencia — propietario</t>
        </is>
      </c>
    </row>
    <row r="59" ht="30" customHeight="1">
      <c r="B59" s="127" t="inlineStr"/>
      <c r="C59" s="127" t="inlineStr">
        <is>
          <t>cap_p_01</t>
        </is>
      </c>
      <c r="D59" s="127" t="inlineStr">
        <is>
          <t>¿Cuántas ofertas comunicaste al propietario?</t>
        </is>
      </c>
      <c r="E59" s="128" t="n"/>
      <c r="F59" s="127" t="inlineStr">
        <is>
          <t>Acreditar diligencia.</t>
        </is>
      </c>
      <c r="G59" s="127" t="inlineStr">
        <is>
          <t>número</t>
        </is>
      </c>
      <c r="H59" s="127" t="inlineStr">
        <is>
          <t>email, whatsapp, entrevista</t>
        </is>
      </c>
      <c r="I59" s="129" t="n"/>
      <c r="J59" s="127" t="n"/>
      <c r="K59" s="129" t="n"/>
      <c r="L59" s="127" t="inlineStr">
        <is>
          <t>—</t>
        </is>
      </c>
      <c r="M59" s="129" t="n"/>
    </row>
    <row r="60" ht="30" customHeight="1">
      <c r="B60" s="127" t="inlineStr"/>
      <c r="C60" s="127" t="inlineStr">
        <is>
          <t>cap_p_02</t>
        </is>
      </c>
      <c r="D60" s="127" t="inlineStr">
        <is>
          <t>¿Cómo se las enviaste?</t>
        </is>
      </c>
      <c r="E60" s="128" t="n"/>
      <c r="F60" s="127" t="inlineStr">
        <is>
          <t>Teléfono, email, WhatsApp.</t>
        </is>
      </c>
      <c r="G60" s="127" t="inlineStr">
        <is>
          <t>enum</t>
        </is>
      </c>
      <c r="H60" s="127" t="inlineStr">
        <is>
          <t>email, whatsapp, entrevista</t>
        </is>
      </c>
      <c r="I60" s="129" t="n"/>
      <c r="J60" s="127" t="n"/>
      <c r="K60" s="129" t="n"/>
      <c r="L60" s="127" t="inlineStr">
        <is>
          <t>—</t>
        </is>
      </c>
      <c r="M60" s="129" t="n"/>
    </row>
    <row r="61" ht="30" customHeight="1">
      <c r="B61" s="127" t="inlineStr"/>
      <c r="C61" s="127" t="inlineStr">
        <is>
          <t>cap_p_03</t>
        </is>
      </c>
      <c r="D61" s="127" t="inlineStr">
        <is>
          <t>¿Cómo te comunicó el propietario la aceptación?</t>
        </is>
      </c>
      <c r="E61" s="128" t="n"/>
      <c r="F61" s="127" t="inlineStr">
        <is>
          <t>Acreditar aceptación.</t>
        </is>
      </c>
      <c r="G61" s="127" t="inlineStr">
        <is>
          <t>texto</t>
        </is>
      </c>
      <c r="H61" s="127" t="inlineStr">
        <is>
          <t>email, whatsapp, oferta, entrevista</t>
        </is>
      </c>
      <c r="I61" s="129" t="n"/>
      <c r="J61" s="127" t="n"/>
      <c r="K61" s="129" t="n"/>
      <c r="L61" s="127" t="inlineStr">
        <is>
          <t>—</t>
        </is>
      </c>
      <c r="M61" s="129" t="n"/>
    </row>
    <row r="62" ht="30" customHeight="1">
      <c r="B62" s="127" t="inlineStr"/>
      <c r="C62" s="127" t="inlineStr">
        <is>
          <t>cap_p_04</t>
        </is>
      </c>
      <c r="D62" s="127" t="inlineStr">
        <is>
          <t>¿Te devolvió la oferta firmada?</t>
        </is>
      </c>
      <c r="E62" s="128" t="n"/>
      <c r="F62" s="127" t="inlineStr">
        <is>
          <t>Prueba documental de la aceptación.</t>
        </is>
      </c>
      <c r="G62" s="127" t="inlineStr">
        <is>
          <t>boolean</t>
        </is>
      </c>
      <c r="H62" s="127" t="inlineStr">
        <is>
          <t>oferta, email</t>
        </is>
      </c>
      <c r="I62" s="129" t="n"/>
      <c r="J62" s="127" t="n"/>
      <c r="K62" s="129" t="n"/>
      <c r="L62" s="127" t="inlineStr">
        <is>
          <t>—</t>
        </is>
      </c>
      <c r="M62" s="129" t="n"/>
    </row>
    <row r="63" ht="30" customHeight="1">
      <c r="B63" s="127" t="inlineStr"/>
      <c r="C63" s="127" t="inlineStr">
        <is>
          <t>cap_p_05</t>
        </is>
      </c>
      <c r="D63" s="127" t="inlineStr">
        <is>
          <t>¿Quién firmó la oferta por parte del propietario?</t>
        </is>
      </c>
      <c r="E63" s="128" t="n"/>
      <c r="F63" s="127" t="inlineStr">
        <is>
          <t>Validar capacidad/representación.</t>
        </is>
      </c>
      <c r="G63" s="127" t="inlineStr">
        <is>
          <t>texto</t>
        </is>
      </c>
      <c r="H63" s="127" t="inlineStr">
        <is>
          <t>oferta</t>
        </is>
      </c>
      <c r="I63" s="129" t="n"/>
      <c r="J63" s="127" t="n"/>
      <c r="K63" s="129" t="n"/>
      <c r="L63" s="127" t="inlineStr">
        <is>
          <t>—</t>
        </is>
      </c>
      <c r="M63" s="129" t="n"/>
    </row>
    <row r="64" ht="30" customHeight="1">
      <c r="B64" s="127" t="inlineStr"/>
      <c r="C64" s="127" t="inlineStr">
        <is>
          <t>cap_p_06</t>
        </is>
      </c>
      <c r="D64" s="127" t="inlineStr">
        <is>
          <t>¿Dónde firmó el propietario?</t>
        </is>
      </c>
      <c r="E64" s="128" t="n"/>
      <c r="F64" s="127" t="inlineStr">
        <is>
          <t>Circunstancias del consentimiento.</t>
        </is>
      </c>
      <c r="G64" s="127" t="inlineStr">
        <is>
          <t>texto</t>
        </is>
      </c>
      <c r="H64" s="127" t="inlineStr">
        <is>
          <t>oferta, entrevista</t>
        </is>
      </c>
      <c r="I64" s="129" t="n"/>
      <c r="J64" s="127" t="n"/>
      <c r="K64" s="129" t="n"/>
      <c r="L64" s="127" t="inlineStr">
        <is>
          <t>—</t>
        </is>
      </c>
      <c r="M64" s="129" t="n"/>
    </row>
    <row r="65" ht="30" customHeight="1">
      <c r="B65" s="127" t="inlineStr"/>
      <c r="C65" s="127" t="inlineStr">
        <is>
          <t>cap_p_07</t>
        </is>
      </c>
      <c r="D65" s="127" t="inlineStr">
        <is>
          <t>¿Tenemos el original firmado por el propietario?</t>
        </is>
      </c>
      <c r="E65" s="128" t="n"/>
      <c r="F65" s="127" t="inlineStr">
        <is>
          <t>Asegurar medio de prueba.</t>
        </is>
      </c>
      <c r="G65" s="127" t="inlineStr">
        <is>
          <t>boolean</t>
        </is>
      </c>
      <c r="H65" s="127" t="inlineStr">
        <is>
          <t>oferta, crm</t>
        </is>
      </c>
      <c r="I65" s="129" t="n"/>
      <c r="J65" s="127" t="n"/>
      <c r="K65" s="129" t="n"/>
      <c r="L65" s="127" t="inlineStr">
        <is>
          <t>—</t>
        </is>
      </c>
      <c r="M65" s="129" t="n"/>
    </row>
    <row r="66">
      <c r="B66" s="145" t="inlineStr">
        <is>
          <t>7. Arras / contrato privado</t>
        </is>
      </c>
    </row>
    <row r="67" ht="30" customHeight="1">
      <c r="B67" s="127" t="inlineStr"/>
      <c r="C67" s="127" t="inlineStr">
        <is>
          <t>arr_00</t>
        </is>
      </c>
      <c r="D67" s="127" t="inlineStr">
        <is>
          <t>¿Se llegaron a preparar/firmar arras o contrato de arrendamiento?</t>
        </is>
      </c>
      <c r="E67" s="128" t="n"/>
      <c r="F67" s="127" t="inlineStr">
        <is>
          <t>Estado final del contrato de arras.</t>
        </is>
      </c>
      <c r="G67" s="127" t="inlineStr">
        <is>
          <t>enum</t>
        </is>
      </c>
      <c r="H67" s="127" t="inlineStr">
        <is>
          <t>arras, email, entrevista</t>
        </is>
      </c>
      <c r="I67" s="129" t="n"/>
      <c r="J67" s="127" t="n"/>
      <c r="K67" s="129" t="n"/>
      <c r="L67" s="127" t="inlineStr">
        <is>
          <t>ARRAS / ARRENDAMIENTO</t>
        </is>
      </c>
      <c r="M67" s="129" t="n"/>
    </row>
    <row r="68" ht="30" customHeight="1">
      <c r="B68" s="127" t="inlineStr"/>
      <c r="C68" s="127" t="inlineStr">
        <is>
          <t>arr_00_fecha</t>
        </is>
      </c>
      <c r="D68" s="127" t="inlineStr">
        <is>
          <t>Fecha de las arras (si firmadas) o de la planificación.</t>
        </is>
      </c>
      <c r="E68" s="128" t="n"/>
      <c r="F68" s="127" t="inlineStr">
        <is>
          <t>Datar el hito procesal.</t>
        </is>
      </c>
      <c r="G68" s="127" t="inlineStr">
        <is>
          <t>fecha</t>
        </is>
      </c>
      <c r="H68" s="127" t="inlineStr">
        <is>
          <t>arras, email</t>
        </is>
      </c>
      <c r="I68" s="129" t="n"/>
      <c r="J68" s="127" t="n"/>
      <c r="K68" s="129" t="n"/>
      <c r="L68" s="127" t="inlineStr">
        <is>
          <t>ARRAS / ARRENDAMIENTO</t>
        </is>
      </c>
      <c r="M68" s="129" t="n"/>
    </row>
    <row r="69" ht="30" customHeight="1">
      <c r="B69" s="127" t="inlineStr"/>
      <c r="C69" s="127" t="inlineStr">
        <is>
          <t>arr_01</t>
        </is>
      </c>
      <c r="D69" s="127" t="inlineStr">
        <is>
          <t>¿Preparasteis borrador de arras o de contrato privado?</t>
        </is>
      </c>
      <c r="E69" s="128" t="n"/>
      <c r="F69" s="127" t="inlineStr">
        <is>
          <t>Acreditar diligencia post-aceptación.</t>
        </is>
      </c>
      <c r="G69" s="127" t="inlineStr">
        <is>
          <t>boolean</t>
        </is>
      </c>
      <c r="H69" s="127" t="inlineStr">
        <is>
          <t>arras, email, entrevista</t>
        </is>
      </c>
      <c r="I69" s="129" t="n"/>
      <c r="J69" s="127" t="n"/>
      <c r="K69" s="129" t="n"/>
      <c r="L69" s="127" t="inlineStr">
        <is>
          <t>—</t>
        </is>
      </c>
      <c r="M69" s="129" t="n"/>
    </row>
    <row r="70" ht="30" customHeight="1">
      <c r="B70" s="127" t="inlineStr"/>
      <c r="C70" s="127" t="inlineStr">
        <is>
          <t>arr_02</t>
        </is>
      </c>
      <c r="D70" s="127" t="inlineStr">
        <is>
          <t>¿Se envió a los buscadores y cómo?</t>
        </is>
      </c>
      <c r="E70" s="128" t="n"/>
      <c r="F70" s="127" t="inlineStr">
        <is>
          <t>Documentar traslado del borrador.</t>
        </is>
      </c>
      <c r="G70" s="127" t="inlineStr">
        <is>
          <t>texto</t>
        </is>
      </c>
      <c r="H70" s="127" t="inlineStr">
        <is>
          <t>email, whatsapp, arras</t>
        </is>
      </c>
      <c r="I70" s="129" t="n"/>
      <c r="J70" s="127" t="n"/>
      <c r="K70" s="129" t="n"/>
      <c r="L70" s="127" t="inlineStr">
        <is>
          <t>—</t>
        </is>
      </c>
      <c r="M70" s="129" t="n"/>
    </row>
    <row r="71" ht="30" customHeight="1">
      <c r="B71" s="127" t="inlineStr"/>
      <c r="C71" s="127" t="inlineStr">
        <is>
          <t>arr_03</t>
        </is>
      </c>
      <c r="D71" s="127" t="inlineStr">
        <is>
          <t>¿Se envió a los propietarios y cómo?</t>
        </is>
      </c>
      <c r="E71" s="128" t="n"/>
      <c r="F71" s="127" t="inlineStr">
        <is>
          <t>Documentar traslado del borrador.</t>
        </is>
      </c>
      <c r="G71" s="127" t="inlineStr">
        <is>
          <t>texto</t>
        </is>
      </c>
      <c r="H71" s="127" t="inlineStr">
        <is>
          <t>email, whatsapp, arras</t>
        </is>
      </c>
      <c r="I71" s="129" t="n"/>
      <c r="J71" s="127" t="n"/>
      <c r="K71" s="129" t="n"/>
      <c r="L71" s="127" t="inlineStr">
        <is>
          <t>—</t>
        </is>
      </c>
      <c r="M71" s="129" t="n"/>
    </row>
    <row r="72" ht="30" customHeight="1">
      <c r="B72" s="127" t="inlineStr"/>
      <c r="C72" s="127" t="inlineStr">
        <is>
          <t>arr_04</t>
        </is>
      </c>
      <c r="D72" s="127" t="inlineStr">
        <is>
          <t>¿Los buscadores dieron su conformidad?</t>
        </is>
      </c>
      <c r="E72" s="128" t="n"/>
      <c r="F72" s="127" t="inlineStr">
        <is>
          <t>Acreditar acuerdo de partes.</t>
        </is>
      </c>
      <c r="G72" s="127" t="inlineStr">
        <is>
          <t>boolean</t>
        </is>
      </c>
      <c r="H72" s="127" t="inlineStr">
        <is>
          <t>email, whatsapp, entrevista</t>
        </is>
      </c>
      <c r="I72" s="129" t="n"/>
      <c r="J72" s="127" t="n"/>
      <c r="K72" s="129" t="n"/>
      <c r="L72" s="127" t="inlineStr">
        <is>
          <t>—</t>
        </is>
      </c>
      <c r="M72" s="129" t="n"/>
    </row>
    <row r="73" ht="30" customHeight="1">
      <c r="B73" s="127" t="inlineStr"/>
      <c r="C73" s="127" t="inlineStr">
        <is>
          <t>arr_05</t>
        </is>
      </c>
      <c r="D73" s="127" t="inlineStr">
        <is>
          <t>¿Los propietarios dieron su conformidad?</t>
        </is>
      </c>
      <c r="E73" s="128" t="n"/>
      <c r="F73" s="127" t="inlineStr">
        <is>
          <t>Acreditar acuerdo de partes.</t>
        </is>
      </c>
      <c r="G73" s="127" t="inlineStr">
        <is>
          <t>boolean</t>
        </is>
      </c>
      <c r="H73" s="127" t="inlineStr">
        <is>
          <t>email, whatsapp, entrevista</t>
        </is>
      </c>
      <c r="I73" s="129" t="n"/>
      <c r="J73" s="127" t="n"/>
      <c r="K73" s="129" t="n"/>
      <c r="L73" s="127" t="inlineStr">
        <is>
          <t>—</t>
        </is>
      </c>
      <c r="M73" s="129" t="n"/>
    </row>
    <row r="74" ht="30" customHeight="1">
      <c r="B74" s="127" t="inlineStr"/>
      <c r="C74" s="127" t="inlineStr">
        <is>
          <t>arr_06</t>
        </is>
      </c>
      <c r="D74" s="127" t="inlineStr">
        <is>
          <t>¿Hubo modificaciones de la oferta (fecha de arras u otras condiciones)?</t>
        </is>
      </c>
      <c r="E74" s="128" t="n"/>
      <c r="F74" s="127" t="inlineStr">
        <is>
          <t>Identificar prueba escrita de modificaciones.</t>
        </is>
      </c>
      <c r="G74" s="127" t="inlineStr">
        <is>
          <t>boolean</t>
        </is>
      </c>
      <c r="H74" s="127" t="inlineStr">
        <is>
          <t>email, whatsapp, oferta</t>
        </is>
      </c>
      <c r="I74" s="129" t="n"/>
      <c r="J74" s="127" t="n"/>
      <c r="K74" s="129" t="n"/>
      <c r="L74" s="127" t="inlineStr">
        <is>
          <t>—</t>
        </is>
      </c>
      <c r="M74" s="129" t="n"/>
    </row>
    <row r="75" ht="30" customHeight="1">
      <c r="B75" s="127" t="inlineStr"/>
      <c r="C75" s="127" t="inlineStr">
        <is>
          <t>arr_07</t>
        </is>
      </c>
      <c r="D75" s="127" t="inlineStr">
        <is>
          <t>¿Se fijó la fecha, hora y lugar de la firma?</t>
        </is>
      </c>
      <c r="E75" s="128" t="n"/>
      <c r="F75" s="127" t="inlineStr">
        <is>
          <t>Acreditar planificación efectiva.</t>
        </is>
      </c>
      <c r="G75" s="127" t="inlineStr">
        <is>
          <t>texto</t>
        </is>
      </c>
      <c r="H75" s="127" t="inlineStr">
        <is>
          <t>email, whatsapp, entrevista</t>
        </is>
      </c>
      <c r="I75" s="129" t="n"/>
      <c r="J75" s="127" t="n"/>
      <c r="K75" s="129" t="n"/>
      <c r="L75" s="127" t="inlineStr">
        <is>
          <t>—</t>
        </is>
      </c>
      <c r="M75" s="129" t="n"/>
    </row>
    <row r="76" ht="30" customHeight="1">
      <c r="B76" s="127" t="inlineStr"/>
      <c r="C76" s="127" t="inlineStr">
        <is>
          <t>arr_08</t>
        </is>
      </c>
      <c r="D76" s="127" t="inlineStr">
        <is>
          <t>¿Los buscadores confirmaron por escrito su asistencia?</t>
        </is>
      </c>
      <c r="E76" s="128" t="n"/>
      <c r="F76" s="127" t="inlineStr">
        <is>
          <t>Documentar voluntad de los buscadores.</t>
        </is>
      </c>
      <c r="G76" s="127" t="inlineStr">
        <is>
          <t>boolean</t>
        </is>
      </c>
      <c r="H76" s="127" t="inlineStr">
        <is>
          <t>email, whatsapp</t>
        </is>
      </c>
      <c r="I76" s="129" t="n"/>
      <c r="J76" s="127" t="n"/>
      <c r="K76" s="129" t="n"/>
      <c r="L76" s="127" t="inlineStr">
        <is>
          <t>—</t>
        </is>
      </c>
      <c r="M76" s="129" t="n"/>
    </row>
    <row r="77" ht="30" customHeight="1">
      <c r="B77" s="127" t="inlineStr"/>
      <c r="C77" s="127" t="inlineStr">
        <is>
          <t>arr_09</t>
        </is>
      </c>
      <c r="D77" s="127" t="inlineStr">
        <is>
          <t>¿Los propietarios confirmaron por escrito su asistencia?</t>
        </is>
      </c>
      <c r="E77" s="128" t="n"/>
      <c r="F77" s="127" t="inlineStr">
        <is>
          <t>Documentar voluntad de los propietarios.</t>
        </is>
      </c>
      <c r="G77" s="127" t="inlineStr">
        <is>
          <t>boolean</t>
        </is>
      </c>
      <c r="H77" s="127" t="inlineStr">
        <is>
          <t>email, whatsapp</t>
        </is>
      </c>
      <c r="I77" s="129" t="n"/>
      <c r="J77" s="127" t="n"/>
      <c r="K77" s="129" t="n"/>
      <c r="L77" s="127" t="inlineStr">
        <is>
          <t>—</t>
        </is>
      </c>
      <c r="M77" s="129" t="n"/>
    </row>
    <row r="78" ht="30" customHeight="1">
      <c r="B78" s="127" t="inlineStr"/>
      <c r="C78" s="127" t="inlineStr">
        <is>
          <t>arr_10</t>
        </is>
      </c>
      <c r="D78" s="127" t="inlineStr">
        <is>
          <t>¿Los buscadores prepararon los medios de pago?</t>
        </is>
      </c>
      <c r="E78" s="128" t="n"/>
      <c r="F78" s="127" t="inlineStr">
        <is>
          <t>Acreditar diligencia de los buscadores.</t>
        </is>
      </c>
      <c r="G78" s="127" t="inlineStr">
        <is>
          <t>boolean</t>
        </is>
      </c>
      <c r="H78" s="127" t="inlineStr">
        <is>
          <t>email, whatsapp, entrevista</t>
        </is>
      </c>
      <c r="I78" s="129" t="n"/>
      <c r="J78" s="127" t="n"/>
      <c r="K78" s="129" t="n"/>
      <c r="L78" s="127" t="inlineStr">
        <is>
          <t>—</t>
        </is>
      </c>
      <c r="M78" s="129" t="n"/>
    </row>
    <row r="79" ht="30" customHeight="1">
      <c r="B79" s="127" t="inlineStr"/>
      <c r="C79" s="127" t="inlineStr">
        <is>
          <t>arr_11</t>
        </is>
      </c>
      <c r="D79" s="127" t="inlineStr">
        <is>
          <t>¿Cómo comunicó el propietario que no iba a firmar?</t>
        </is>
      </c>
      <c r="E79" s="128" t="n"/>
      <c r="F79" s="127" t="inlineStr">
        <is>
          <t>Documentar la negativa.</t>
        </is>
      </c>
      <c r="G79" s="127" t="inlineStr">
        <is>
          <t>texto</t>
        </is>
      </c>
      <c r="H79" s="127" t="inlineStr">
        <is>
          <t>email, whatsapp, entrevista</t>
        </is>
      </c>
      <c r="I79" s="129" t="n"/>
      <c r="J79" s="127" t="n"/>
      <c r="K79" s="129" t="n"/>
      <c r="L79" s="127" t="inlineStr">
        <is>
          <t>—</t>
        </is>
      </c>
      <c r="M79" s="129" t="n"/>
    </row>
    <row r="80" ht="30" customHeight="1">
      <c r="B80" s="127" t="inlineStr"/>
      <c r="C80" s="127" t="inlineStr">
        <is>
          <t>arr_12</t>
        </is>
      </c>
      <c r="D80" s="127" t="inlineStr">
        <is>
          <t>¿Qué motivo dio el propietario para no firmar?</t>
        </is>
      </c>
      <c r="E80" s="128" t="n"/>
      <c r="F80" s="127" t="inlineStr">
        <is>
          <t>Calificar jurídicamente la negativa.</t>
        </is>
      </c>
      <c r="G80" s="127" t="inlineStr">
        <is>
          <t>texto</t>
        </is>
      </c>
      <c r="H80" s="127" t="inlineStr">
        <is>
          <t>email, whatsapp, entrevista</t>
        </is>
      </c>
      <c r="I80" s="129" t="n"/>
      <c r="J80" s="127" t="n"/>
      <c r="K80" s="129" t="n"/>
      <c r="L80" s="127" t="inlineStr">
        <is>
          <t>—</t>
        </is>
      </c>
      <c r="M80" s="129" t="n"/>
    </row>
    <row r="81" ht="30" customHeight="1">
      <c r="B81" s="127" t="inlineStr"/>
      <c r="C81" s="127" t="inlineStr">
        <is>
          <t>arr_13</t>
        </is>
      </c>
      <c r="D81" s="127" t="inlineStr">
        <is>
          <t>¿Existe documento de reconocimiento de honorarios firmado en el momento de las arras?</t>
        </is>
      </c>
      <c r="E81" s="128" t="n"/>
      <c r="F81" s="127" t="inlineStr">
        <is>
          <t>Acreditar reconocimiento del derecho a honorarios en el hito arras.</t>
        </is>
      </c>
      <c r="G81" s="127" t="inlineStr">
        <is>
          <t>enum</t>
        </is>
      </c>
      <c r="H81" s="127" t="inlineStr">
        <is>
          <t>arras, crm</t>
        </is>
      </c>
      <c r="I81" s="129" t="n"/>
      <c r="J81" s="127" t="n"/>
      <c r="K81" s="129" t="n"/>
      <c r="L81" s="127" t="inlineStr">
        <is>
          <t>RECON. HON. — ARRAS</t>
        </is>
      </c>
      <c r="M81" s="129" t="n"/>
    </row>
    <row r="82" ht="30" customHeight="1">
      <c r="B82" s="127" t="inlineStr"/>
      <c r="C82" s="127" t="inlineStr">
        <is>
          <t>arr_13_fecha</t>
        </is>
      </c>
      <c r="D82" s="127" t="inlineStr">
        <is>
          <t>Fecha del reconocimiento de honorarios — arras.</t>
        </is>
      </c>
      <c r="E82" s="128" t="n"/>
      <c r="F82" s="127" t="inlineStr">
        <is>
          <t>Datar el reconocimiento.</t>
        </is>
      </c>
      <c r="G82" s="127" t="inlineStr">
        <is>
          <t>fecha</t>
        </is>
      </c>
      <c r="H82" s="127" t="inlineStr">
        <is>
          <t>arras</t>
        </is>
      </c>
      <c r="I82" s="129" t="n"/>
      <c r="J82" s="127" t="n"/>
      <c r="K82" s="129" t="n"/>
      <c r="L82" s="127" t="inlineStr">
        <is>
          <t>RECON. HON. — ARRAS</t>
        </is>
      </c>
      <c r="M82" s="129" t="n"/>
    </row>
    <row r="83">
      <c r="B83" s="145" t="inlineStr">
        <is>
          <t>8. Vueltas</t>
        </is>
      </c>
    </row>
    <row r="84" ht="30" customHeight="1">
      <c r="B84" s="127" t="inlineStr"/>
      <c r="C84" s="127" t="inlineStr">
        <is>
          <t>vue_01</t>
        </is>
      </c>
      <c r="D84" s="127" t="inlineStr">
        <is>
          <t>¿Sabes si intervino otra agencia?</t>
        </is>
      </c>
      <c r="E84" s="128" t="n"/>
      <c r="F84" s="127" t="inlineStr">
        <is>
          <t>Valorar intervención de tercero.</t>
        </is>
      </c>
      <c r="G84" s="127" t="inlineStr">
        <is>
          <t>boolean</t>
        </is>
      </c>
      <c r="H84" s="127" t="inlineStr">
        <is>
          <t>entrevista, email</t>
        </is>
      </c>
      <c r="I84" s="129" t="n"/>
      <c r="J84" s="127" t="n"/>
      <c r="K84" s="129" t="n"/>
      <c r="L84" s="127" t="inlineStr">
        <is>
          <t>(VUELTA)</t>
        </is>
      </c>
      <c r="M84" s="129" t="n"/>
    </row>
    <row r="85" ht="30" customHeight="1">
      <c r="B85" s="127" t="inlineStr"/>
      <c r="C85" s="127" t="inlineStr">
        <is>
          <t>vue_02</t>
        </is>
      </c>
      <c r="D85" s="127" t="inlineStr">
        <is>
          <t>¿El buscador visitó el inmueble con otra agencia antes o después?</t>
        </is>
      </c>
      <c r="E85" s="128" t="n"/>
      <c r="F85" s="127" t="inlineStr">
        <is>
          <t>Analizar posible pérdida de causalidad.</t>
        </is>
      </c>
      <c r="G85" s="127" t="inlineStr">
        <is>
          <t>boolean</t>
        </is>
      </c>
      <c r="H85" s="127" t="inlineStr">
        <is>
          <t>entrevista, hoja_visita</t>
        </is>
      </c>
      <c r="I85" s="129" t="n"/>
      <c r="J85" s="127" t="n"/>
      <c r="K85" s="129" t="n"/>
      <c r="L85" s="127" t="inlineStr">
        <is>
          <t>(VUELTA)</t>
        </is>
      </c>
      <c r="M85" s="129" t="n"/>
    </row>
    <row r="86" ht="30" customHeight="1">
      <c r="B86" s="127" t="inlineStr"/>
      <c r="C86" s="127" t="inlineStr">
        <is>
          <t>vue_03</t>
        </is>
      </c>
      <c r="D86" s="127" t="inlineStr">
        <is>
          <t>¿El buscador hizo alguna oferta fuera de Engel &amp; Völkers?</t>
        </is>
      </c>
      <c r="E86" s="128" t="n"/>
      <c r="F86" s="127" t="inlineStr">
        <is>
          <t>Valorar intervención decisiva de otro.</t>
        </is>
      </c>
      <c r="G86" s="127" t="inlineStr">
        <is>
          <t>boolean</t>
        </is>
      </c>
      <c r="H86" s="127" t="inlineStr">
        <is>
          <t>entrevista, oferta</t>
        </is>
      </c>
      <c r="I86" s="129" t="n"/>
      <c r="J86" s="127" t="n"/>
      <c r="K86" s="129" t="n"/>
      <c r="L86" s="127" t="inlineStr">
        <is>
          <t>(VUELTA)</t>
        </is>
      </c>
      <c r="M86" s="129" t="n"/>
    </row>
    <row r="87" ht="30" customHeight="1">
      <c r="B87" s="127" t="inlineStr"/>
      <c r="C87" s="127" t="inlineStr">
        <is>
          <t>vue_04</t>
        </is>
      </c>
      <c r="D87" s="127" t="inlineStr">
        <is>
          <t>¿Informaste al propietario de la identidad del buscador? ¿Cómo?</t>
        </is>
      </c>
      <c r="E87" s="128" t="n"/>
      <c r="F87" s="127" t="inlineStr">
        <is>
          <t>Acreditar que el propietario conocía al buscador por la agencia.</t>
        </is>
      </c>
      <c r="G87" s="127" t="inlineStr">
        <is>
          <t>texto</t>
        </is>
      </c>
      <c r="H87" s="127" t="inlineStr">
        <is>
          <t>email, whatsapp, oferta</t>
        </is>
      </c>
      <c r="I87" s="129" t="n"/>
      <c r="J87" s="127" t="n"/>
      <c r="K87" s="129" t="n"/>
      <c r="L87" s="127" t="inlineStr">
        <is>
          <t>(VUELTA)</t>
        </is>
      </c>
      <c r="M87" s="129" t="n"/>
    </row>
    <row r="88" ht="30" customHeight="1">
      <c r="B88" s="127" t="inlineStr"/>
      <c r="C88" s="127" t="inlineStr">
        <is>
          <t>vue_05</t>
        </is>
      </c>
      <c r="D88" s="127" t="inlineStr">
        <is>
          <t>Según tu experiencia, ¿cómo crees que el buscador llegó a contactar con el propietario?</t>
        </is>
      </c>
      <c r="E88" s="128" t="n"/>
      <c r="F88" s="127" t="inlineStr">
        <is>
          <t>Reconstruir la mecánica de la vuelta.</t>
        </is>
      </c>
      <c r="G88" s="127" t="inlineStr">
        <is>
          <t>texto</t>
        </is>
      </c>
      <c r="H88" s="127" t="inlineStr">
        <is>
          <t>entrevista</t>
        </is>
      </c>
      <c r="I88" s="129" t="n"/>
      <c r="J88" s="127" t="n"/>
      <c r="K88" s="129" t="n"/>
      <c r="L88" s="127" t="inlineStr">
        <is>
          <t>(VUELTA)</t>
        </is>
      </c>
      <c r="M88" s="129" t="n"/>
    </row>
    <row r="89">
      <c r="B89" s="145" t="inlineStr">
        <is>
          <t>9. Team leader</t>
        </is>
      </c>
    </row>
    <row r="90" ht="30" customHeight="1">
      <c r="B90" s="127" t="inlineStr"/>
      <c r="C90" s="127" t="inlineStr">
        <is>
          <t>tl_01</t>
        </is>
      </c>
      <c r="D90" s="127" t="inlineStr">
        <is>
          <t>¿Qué intervención tuvo el Team Leader en la operación?</t>
        </is>
      </c>
      <c r="E90" s="128" t="n"/>
      <c r="F90" s="127" t="inlineStr">
        <is>
          <t>Identificar testigo cualificado adicional.</t>
        </is>
      </c>
      <c r="G90" s="127" t="inlineStr">
        <is>
          <t>texto</t>
        </is>
      </c>
      <c r="H90" s="127" t="inlineStr">
        <is>
          <t>entrevista, email, whatsapp</t>
        </is>
      </c>
      <c r="I90" s="129" t="n"/>
      <c r="J90" s="127" t="n"/>
      <c r="K90" s="129" t="n"/>
      <c r="L90" s="127" t="inlineStr">
        <is>
          <t>—</t>
        </is>
      </c>
      <c r="M90" s="129" t="n"/>
    </row>
    <row r="91">
      <c r="B91" s="145" t="inlineStr">
        <is>
          <t>10. Escritura (post-arras)</t>
        </is>
      </c>
    </row>
    <row r="92" ht="30" customHeight="1">
      <c r="B92" s="127" t="inlineStr"/>
      <c r="C92" s="127" t="inlineStr">
        <is>
          <t>esc_01</t>
        </is>
      </c>
      <c r="D92" s="127" t="inlineStr">
        <is>
          <t>¿Se otorgó finalmente la escritura pública?</t>
        </is>
      </c>
      <c r="E92" s="128" t="n"/>
      <c r="F92" s="127" t="inlineStr">
        <is>
          <t>Estado final del hito escritura.</t>
        </is>
      </c>
      <c r="G92" s="127" t="inlineStr">
        <is>
          <t>enum</t>
        </is>
      </c>
      <c r="H92" s="127" t="inlineStr">
        <is>
          <t>escritura, nota_simple, crm</t>
        </is>
      </c>
      <c r="I92" s="129" t="n"/>
      <c r="J92" s="127" t="n"/>
      <c r="K92" s="129" t="n"/>
      <c r="L92" s="127" t="inlineStr">
        <is>
          <t>ESCRITURA</t>
        </is>
      </c>
      <c r="M92" s="129" t="n"/>
    </row>
    <row r="93" ht="30" customHeight="1">
      <c r="B93" s="127" t="inlineStr"/>
      <c r="C93" s="127" t="inlineStr">
        <is>
          <t>esc_01_fecha</t>
        </is>
      </c>
      <c r="D93" s="127" t="inlineStr">
        <is>
          <t>Fecha del otorgamiento (si aplica).</t>
        </is>
      </c>
      <c r="E93" s="128" t="n"/>
      <c r="F93" s="127" t="inlineStr">
        <is>
          <t>Datar el hito procesal.</t>
        </is>
      </c>
      <c r="G93" s="127" t="inlineStr">
        <is>
          <t>fecha</t>
        </is>
      </c>
      <c r="H93" s="127" t="inlineStr">
        <is>
          <t>escritura, nota_simple</t>
        </is>
      </c>
      <c r="I93" s="129" t="n"/>
      <c r="J93" s="127" t="n"/>
      <c r="K93" s="129" t="n"/>
      <c r="L93" s="127" t="inlineStr">
        <is>
          <t>ESCRITURA</t>
        </is>
      </c>
      <c r="M93" s="129" t="n"/>
    </row>
    <row r="94" ht="30" customHeight="1">
      <c r="B94" s="127" t="inlineStr"/>
      <c r="C94" s="127" t="inlineStr">
        <is>
          <t>esc_02</t>
        </is>
      </c>
      <c r="D94" s="127" t="inlineStr">
        <is>
          <t>¿Disponemos de nota simple actualizada (post-operación) que confirma el otorgamiento?</t>
        </is>
      </c>
      <c r="E94" s="128" t="n"/>
      <c r="F94" s="127" t="inlineStr">
        <is>
          <t>Verificar otorgamiento mediante prueba documental independiente.</t>
        </is>
      </c>
      <c r="G94" s="127" t="inlineStr">
        <is>
          <t>boolean</t>
        </is>
      </c>
      <c r="H94" s="127" t="inlineStr">
        <is>
          <t>nota_simple</t>
        </is>
      </c>
      <c r="I94" s="129" t="n"/>
      <c r="J94" s="127" t="n"/>
      <c r="K94" s="129" t="n"/>
      <c r="L94" s="127" t="inlineStr">
        <is>
          <t>ESCRITURA</t>
        </is>
      </c>
      <c r="M94" s="129" t="n"/>
    </row>
    <row r="95" ht="30" customHeight="1">
      <c r="B95" s="127" t="inlineStr"/>
      <c r="C95" s="127" t="inlineStr">
        <is>
          <t>esc_03</t>
        </is>
      </c>
      <c r="D95" s="127" t="inlineStr">
        <is>
          <t>¿Existe documento de reconocimiento de honorarios firmado en el momento de la escritura?</t>
        </is>
      </c>
      <c r="E95" s="128" t="n"/>
      <c r="F95" s="127" t="inlineStr">
        <is>
          <t>Acreditar reconocimiento del derecho a honorarios en el hito escritura.</t>
        </is>
      </c>
      <c r="G95" s="127" t="inlineStr">
        <is>
          <t>enum</t>
        </is>
      </c>
      <c r="H95" s="127" t="inlineStr">
        <is>
          <t>escritura, crm</t>
        </is>
      </c>
      <c r="I95" s="129" t="n"/>
      <c r="J95" s="127" t="n"/>
      <c r="K95" s="129" t="n"/>
      <c r="L95" s="127" t="inlineStr">
        <is>
          <t>RECON. HON. — ESCRITURA</t>
        </is>
      </c>
      <c r="M95" s="129" t="n"/>
    </row>
    <row r="96" ht="30" customHeight="1">
      <c r="B96" s="127" t="inlineStr"/>
      <c r="C96" s="127" t="inlineStr">
        <is>
          <t>esc_03_fecha</t>
        </is>
      </c>
      <c r="D96" s="127" t="inlineStr">
        <is>
          <t>Fecha del reconocimiento de honorarios — escritura.</t>
        </is>
      </c>
      <c r="E96" s="128" t="n"/>
      <c r="F96" s="127" t="inlineStr">
        <is>
          <t>Datar el reconocimiento.</t>
        </is>
      </c>
      <c r="G96" s="127" t="inlineStr">
        <is>
          <t>fecha</t>
        </is>
      </c>
      <c r="H96" s="127" t="inlineStr">
        <is>
          <t>escritura</t>
        </is>
      </c>
      <c r="I96" s="129" t="n"/>
      <c r="J96" s="127" t="n"/>
      <c r="K96" s="129" t="n"/>
      <c r="L96" s="127" t="inlineStr">
        <is>
          <t>RECON. HON. — ESCRITURA</t>
        </is>
      </c>
      <c r="M96" s="129" t="n"/>
    </row>
    <row r="97">
      <c r="B97" s="145" t="inlineStr">
        <is>
          <t>11. Reclamación / posventa</t>
        </is>
      </c>
    </row>
    <row r="98" ht="30" customHeight="1">
      <c r="B98" s="127" t="inlineStr"/>
      <c r="C98" s="127" t="inlineStr">
        <is>
          <t>rec_02</t>
        </is>
      </c>
      <c r="D98" s="127" t="inlineStr">
        <is>
          <t>¿Se ha enviado reclamación jurídica (burofax)?</t>
        </is>
      </c>
      <c r="E98" s="128" t="n"/>
      <c r="F98" s="127" t="inlineStr">
        <is>
          <t>Acreditar requerimiento jurídico previo (interrupción de prescripción).</t>
        </is>
      </c>
      <c r="G98" s="127" t="inlineStr">
        <is>
          <t>boolean</t>
        </is>
      </c>
      <c r="H98" s="127" t="inlineStr">
        <is>
          <t>crm, email</t>
        </is>
      </c>
      <c r="I98" s="129" t="n"/>
      <c r="J98" s="127" t="n"/>
      <c r="K98" s="129" t="n"/>
      <c r="L98" s="127" t="inlineStr">
        <is>
          <t>RECLAMACIÓN JURÍDICO</t>
        </is>
      </c>
      <c r="M98" s="129" t="n"/>
    </row>
    <row r="99" ht="30" customHeight="1">
      <c r="B99" s="127" t="inlineStr"/>
      <c r="C99" s="127" t="inlineStr">
        <is>
          <t>rec_02_fecha</t>
        </is>
      </c>
      <c r="D99" s="127" t="inlineStr">
        <is>
          <t>Fecha de envío de la reclamación jurídica (burofax).</t>
        </is>
      </c>
      <c r="E99" s="128" t="n"/>
      <c r="F99" s="127" t="inlineStr">
        <is>
          <t>Datar la interrupción de prescripción.</t>
        </is>
      </c>
      <c r="G99" s="127" t="inlineStr">
        <is>
          <t>fecha</t>
        </is>
      </c>
      <c r="H99" s="127" t="inlineStr">
        <is>
          <t>crm, email</t>
        </is>
      </c>
      <c r="I99" s="129" t="n"/>
      <c r="J99" s="127" t="n"/>
      <c r="K99" s="129" t="n"/>
      <c r="L99" s="127" t="inlineStr">
        <is>
          <t>RECLAMACIÓN JURÍDICO</t>
        </is>
      </c>
      <c r="M99" s="129" t="n"/>
    </row>
    <row r="100" ht="30" customHeight="1">
      <c r="B100" s="127" t="inlineStr"/>
      <c r="C100" s="127" t="inlineStr">
        <is>
          <t>rec_03</t>
        </is>
      </c>
      <c r="D100" s="127" t="inlineStr">
        <is>
          <t>¿Hubo respuesta a la reclamación jurídica?</t>
        </is>
      </c>
      <c r="E100" s="128" t="n"/>
      <c r="F100" s="127" t="inlineStr">
        <is>
          <t>Documentar la postura del deudor.</t>
        </is>
      </c>
      <c r="G100" s="127" t="inlineStr">
        <is>
          <t>enum</t>
        </is>
      </c>
      <c r="H100" s="127" t="inlineStr">
        <is>
          <t>crm, email</t>
        </is>
      </c>
      <c r="I100" s="129" t="n"/>
      <c r="J100" s="127" t="n"/>
      <c r="K100" s="129" t="n"/>
      <c r="L100" s="127" t="inlineStr">
        <is>
          <t>RESPUESTA A LA RECLAMACIÓN</t>
        </is>
      </c>
      <c r="M100" s="129" t="n"/>
    </row>
    <row r="101" ht="30" customHeight="1">
      <c r="B101" s="127" t="inlineStr"/>
      <c r="C101" s="127" t="inlineStr">
        <is>
          <t>rec_03_fecha</t>
        </is>
      </c>
      <c r="D101" s="127" t="inlineStr">
        <is>
          <t>Fecha de la respuesta (si la hubo).</t>
        </is>
      </c>
      <c r="E101" s="128" t="n"/>
      <c r="F101" s="127" t="inlineStr">
        <is>
          <t>Datar la respuesta.</t>
        </is>
      </c>
      <c r="G101" s="127" t="inlineStr">
        <is>
          <t>fecha</t>
        </is>
      </c>
      <c r="H101" s="127" t="inlineStr">
        <is>
          <t>crm, email</t>
        </is>
      </c>
      <c r="I101" s="129" t="n"/>
      <c r="J101" s="127" t="n"/>
      <c r="K101" s="129" t="n"/>
      <c r="L101" s="127" t="inlineStr">
        <is>
          <t>RESPUESTA A LA RECLAMACIÓN</t>
        </is>
      </c>
      <c r="M101" s="129" t="n"/>
    </row>
    <row r="102" ht="30" customHeight="1">
      <c r="B102" s="127" t="inlineStr"/>
      <c r="C102" s="127" t="inlineStr">
        <is>
          <t>rec_04</t>
        </is>
      </c>
      <c r="D102" s="127" t="inlineStr">
        <is>
          <t>¿Hubo oferta vinculante confidencial del deudor?</t>
        </is>
      </c>
      <c r="E102" s="128" t="n"/>
      <c r="F102" s="127" t="inlineStr">
        <is>
          <t>Detectar oferta de transacción que pueda condicionar la viabilidad.</t>
        </is>
      </c>
      <c r="G102" s="127" t="inlineStr">
        <is>
          <t>enum</t>
        </is>
      </c>
      <c r="H102" s="127" t="inlineStr">
        <is>
          <t>crm, email</t>
        </is>
      </c>
      <c r="I102" s="129" t="n"/>
      <c r="J102" s="127" t="n"/>
      <c r="K102" s="129" t="n"/>
      <c r="L102" s="127" t="inlineStr">
        <is>
          <t>OFERTA VINCULANTE CONFIDENCIAL</t>
        </is>
      </c>
      <c r="M102" s="129" t="n"/>
    </row>
    <row r="103" ht="30" customHeight="1">
      <c r="B103" s="127" t="inlineStr"/>
      <c r="C103" s="127" t="inlineStr">
        <is>
          <t>rec_04_fecha</t>
        </is>
      </c>
      <c r="D103" s="127" t="inlineStr">
        <is>
          <t>Fecha de la oferta vinculante confidencial (si la hubo).</t>
        </is>
      </c>
      <c r="E103" s="128" t="n"/>
      <c r="F103" s="127" t="inlineStr">
        <is>
          <t>Datar la oferta de transacción.</t>
        </is>
      </c>
      <c r="G103" s="127" t="inlineStr">
        <is>
          <t>fecha</t>
        </is>
      </c>
      <c r="H103" s="127" t="inlineStr">
        <is>
          <t>crm, email</t>
        </is>
      </c>
      <c r="I103" s="129" t="n"/>
      <c r="J103" s="127" t="n"/>
      <c r="K103" s="129" t="n"/>
      <c r="L103" s="127" t="inlineStr">
        <is>
          <t>OFERTA VINCULANTE CONFIDENCIAL</t>
        </is>
      </c>
      <c r="M103" s="129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/>
  <autoFilter ref="B3:M88"/>
  <mergeCells count="13">
    <mergeCell ref="B2:M2"/>
    <mergeCell ref="B54:M54"/>
    <mergeCell ref="B97:M97"/>
    <mergeCell ref="B89:M89"/>
    <mergeCell ref="B5:M5"/>
    <mergeCell ref="B66:M66"/>
    <mergeCell ref="B32:M32"/>
    <mergeCell ref="B58:M58"/>
    <mergeCell ref="B1:M1"/>
    <mergeCell ref="B44:M44"/>
    <mergeCell ref="B83:M83"/>
    <mergeCell ref="B29:M29"/>
    <mergeCell ref="B91:M91"/>
  </mergeCells>
  <dataValidations count="2">
    <dataValidation sqref="K6:K103" showDropDown="0" showInputMessage="0" showErrorMessage="0" allowBlank="1" type="list">
      <formula1>"alta,media,baja"</formula1>
    </dataValidation>
    <dataValidation sqref="M6:M103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6" customWidth="1" min="3" max="3"/>
    <col width="42" customWidth="1" min="4" max="4"/>
    <col width="30" customWidth="1" min="5" max="5"/>
    <col width="34" customWidth="1" min="6" max="6"/>
    <col width="11" customWidth="1" min="7" max="7"/>
    <col width="40" customWidth="1" min="8" max="8"/>
    <col width="18" customWidth="1" min="9" max="9"/>
    <col width="14" customWidth="1" min="10" max="10"/>
  </cols>
  <sheetData>
    <row r="1">
      <c r="B1" s="120" t="inlineStr">
        <is>
          <t>AVISOS LLM — banderas del pre-relleno (capa de trabajo · el CFO NO la ve)</t>
        </is>
      </c>
    </row>
    <row r="2">
      <c r="B2" s="121" t="inlineStr">
        <is>
          <t>El LLM vuelca aquí lo que vigilar antes de decidir. No se borra: el abogado marca qué 'sube' al recuadro (col. I). El resto queda como traza.</t>
        </is>
      </c>
    </row>
    <row r="3">
      <c r="B3" s="122" t="inlineStr">
        <is>
          <t>Nº</t>
        </is>
      </c>
      <c r="C3" s="122" t="inlineStr">
        <is>
          <t>TIPO</t>
        </is>
      </c>
      <c r="D3" s="122" t="inlineStr">
        <is>
          <t>AVISO</t>
        </is>
      </c>
      <c r="E3" s="122" t="inlineStr">
        <is>
          <t>IMPACTO (hito / decisión)</t>
        </is>
      </c>
      <c r="F3" s="122" t="inlineStr">
        <is>
          <t>FUENTE / RASTRO</t>
        </is>
      </c>
      <c r="G3" s="122" t="inlineStr">
        <is>
          <t>SEVERIDAD</t>
        </is>
      </c>
      <c r="H3" s="122" t="inlineStr">
        <is>
          <t>ACCIÓN SUGERIDA</t>
        </is>
      </c>
      <c r="I3" s="122" t="inlineStr">
        <is>
          <t>¿SUBE AL RECUADRO CFO?</t>
        </is>
      </c>
      <c r="J3" s="122" t="inlineStr">
        <is>
          <t>ESTADO</t>
        </is>
      </c>
    </row>
    <row r="4">
      <c r="B4" s="125" t="inlineStr">
        <is>
          <t>[auto]</t>
        </is>
      </c>
      <c r="C4" s="125" t="inlineStr">
        <is>
          <t>[LLM] Categoría.</t>
        </is>
      </c>
      <c r="D4" s="125" t="inlineStr">
        <is>
          <t>[LLM] Qué ha detectado el pre-relleno.</t>
        </is>
      </c>
      <c r="E4" s="125" t="inlineStr">
        <is>
          <t>[LLM] A qué hito o decisión afecta.</t>
        </is>
      </c>
      <c r="F4" s="125" t="inlineStr">
        <is>
          <t>[LLM] De dónde sale.</t>
        </is>
      </c>
      <c r="G4" s="125" t="inlineStr">
        <is>
          <t>[LLM] alta/media/baja.</t>
        </is>
      </c>
      <c r="H4" s="125" t="inlineStr">
        <is>
          <t>[LLM] Qué conviene hacer.</t>
        </is>
      </c>
      <c r="I4" s="125" t="inlineStr">
        <is>
          <t>[Abogado decide] sí = al recuadro; no = se queda aquí.</t>
        </is>
      </c>
      <c r="J4" s="125" t="inlineStr">
        <is>
          <t>[Abogado] abierto/resuelto.</t>
        </is>
      </c>
    </row>
    <row r="5" ht="32" customHeight="1">
      <c r="B5" s="130" t="n"/>
      <c r="C5" s="130" t="n"/>
      <c r="D5" s="130" t="n"/>
      <c r="E5" s="130" t="n"/>
      <c r="F5" s="130" t="n"/>
      <c r="G5" s="132" t="n"/>
      <c r="H5" s="130" t="n"/>
      <c r="I5" s="133" t="n"/>
      <c r="J5" s="130" t="n"/>
    </row>
    <row r="6" ht="32" customHeight="1">
      <c r="B6" s="130" t="n"/>
      <c r="C6" s="130" t="n"/>
      <c r="D6" s="130" t="n"/>
      <c r="E6" s="130" t="n"/>
      <c r="F6" s="130" t="n"/>
      <c r="G6" s="132" t="n"/>
      <c r="H6" s="130" t="n"/>
      <c r="I6" s="133" t="n"/>
      <c r="J6" s="130" t="n"/>
    </row>
    <row r="7" ht="32" customHeight="1">
      <c r="B7" s="130" t="n"/>
      <c r="C7" s="130" t="n"/>
      <c r="D7" s="130" t="n"/>
      <c r="E7" s="130" t="n"/>
      <c r="F7" s="130" t="n"/>
      <c r="G7" s="134" t="n"/>
      <c r="H7" s="130" t="n"/>
      <c r="I7" s="130" t="n"/>
      <c r="J7" s="130" t="n"/>
    </row>
    <row r="8" ht="32" customHeight="1">
      <c r="B8" s="130" t="n"/>
      <c r="C8" s="130" t="n"/>
      <c r="D8" s="130" t="n"/>
      <c r="E8" s="130" t="n"/>
      <c r="F8" s="130" t="n"/>
      <c r="G8" s="134" t="n"/>
      <c r="H8" s="130" t="n"/>
      <c r="I8" s="130" t="n"/>
      <c r="J8" s="130" t="n"/>
    </row>
    <row r="9" ht="32" customHeight="1">
      <c r="B9" s="130" t="n"/>
      <c r="C9" s="130" t="n"/>
      <c r="D9" s="130" t="n"/>
      <c r="E9" s="130" t="n"/>
      <c r="F9" s="130" t="n"/>
      <c r="G9" s="135" t="n"/>
      <c r="H9" s="130" t="n"/>
      <c r="I9" s="130" t="n"/>
      <c r="J9" s="130" t="n"/>
    </row>
    <row r="10" ht="32" customHeight="1">
      <c r="B10" s="130" t="n"/>
      <c r="C10" s="130" t="n"/>
      <c r="D10" s="130" t="n"/>
      <c r="E10" s="130" t="n"/>
      <c r="F10" s="130" t="n"/>
      <c r="G10" s="134" t="n"/>
      <c r="H10" s="130" t="n"/>
      <c r="I10" s="130" t="n"/>
      <c r="J10" s="130" t="n"/>
    </row>
  </sheetData>
  <autoFilter ref="B3:J10"/>
  <mergeCells count="2">
    <mergeCell ref="B1:J1"/>
    <mergeCell ref="B2:J2"/>
  </mergeCells>
  <dataValidations count="3">
    <dataValidation sqref="G5:G10" showDropDown="0" showInputMessage="0" showErrorMessage="0" allowBlank="1" type="list">
      <formula1>"alta,media,baja"</formula1>
    </dataValidation>
    <dataValidation sqref="I5:I10" showDropDown="0" showInputMessage="0" showErrorMessage="0" allowBlank="1" type="list">
      <formula1>"sí,no"</formula1>
    </dataValidation>
    <dataValidation sqref="J5:J10" showDropDown="0" showInputMessage="0" showErrorMessage="0" allowBlank="1" type="list">
      <formula1>"abierto,resuelto"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30" customWidth="1" min="3" max="3"/>
    <col width="26" customWidth="1" min="4" max="4"/>
    <col width="58" customWidth="1" min="5" max="5"/>
    <col width="14" customWidth="1" min="6" max="6"/>
    <col width="24" customWidth="1" min="7" max="7"/>
  </cols>
  <sheetData>
    <row r="1">
      <c r="B1" s="120" t="inlineStr">
        <is>
          <t>BITÁCORA DE DECISIONES Y AUTORIZACIONES</t>
        </is>
      </c>
    </row>
    <row r="2">
      <c r="B2" s="121" t="inlineStr">
        <is>
          <t>APPEND-ONLY: cada petición/decisión/hito es una entrada NUEVA. No se borra lo anterior. Es lo que lee Dirección Financiera para autorizar.</t>
        </is>
      </c>
    </row>
    <row r="3">
      <c r="B3" s="122" t="inlineStr">
        <is>
          <t>FECHA</t>
        </is>
      </c>
      <c r="C3" s="122" t="inlineStr">
        <is>
          <t>FASE</t>
        </is>
      </c>
      <c r="D3" s="122" t="inlineStr">
        <is>
          <t>ACTOR (de → a)</t>
        </is>
      </c>
      <c r="E3" s="122" t="inlineStr">
        <is>
          <t>QUÉ SE PIDE / DECIDE</t>
        </is>
      </c>
      <c r="F3" s="122" t="inlineStr">
        <is>
          <t>IMPORTE</t>
        </is>
      </c>
      <c r="G3" s="122" t="inlineStr">
        <is>
          <t>RESULTADO / ESTADO</t>
        </is>
      </c>
    </row>
    <row r="4">
      <c r="B4" s="125" t="inlineStr">
        <is>
          <t>[Abogado] Fecha.</t>
        </is>
      </c>
      <c r="C4" s="125" t="inlineStr">
        <is>
          <t>[Abogado] Etapa.</t>
        </is>
      </c>
      <c r="D4" s="125" t="inlineStr">
        <is>
          <t>[Abogado] Quién actúa y a quién.</t>
        </is>
      </c>
      <c r="E4" s="125" t="inlineStr">
        <is>
          <t>[Abogado / LLM redacta] Petición o decisión, en claro para el CFO.</t>
        </is>
      </c>
      <c r="F4" s="125" t="inlineStr">
        <is>
          <t>[Abogado] Cuantía, si aplica.</t>
        </is>
      </c>
      <c r="G4" s="125" t="inlineStr">
        <is>
          <t>[Abogado] Desenlace y estado.</t>
        </is>
      </c>
    </row>
    <row r="5" ht="60" customHeight="1">
      <c r="B5" s="130" t="n"/>
      <c r="C5" s="130" t="n"/>
      <c r="D5" s="130" t="n"/>
      <c r="E5" s="130" t="n"/>
      <c r="F5" s="130" t="n"/>
      <c r="G5" s="130" t="n"/>
    </row>
    <row r="6" ht="60" customHeight="1">
      <c r="B6" s="130" t="n"/>
      <c r="C6" s="130" t="n"/>
      <c r="D6" s="130" t="n"/>
      <c r="E6" s="130" t="n"/>
      <c r="F6" s="130" t="n"/>
      <c r="G6" s="130" t="n"/>
    </row>
    <row r="7" ht="60" customHeight="1">
      <c r="B7" s="130" t="n"/>
      <c r="C7" s="130" t="n"/>
      <c r="D7" s="130" t="n"/>
      <c r="E7" s="130" t="n"/>
      <c r="F7" s="130" t="n"/>
      <c r="G7" s="134" t="n"/>
    </row>
    <row r="8" ht="60" customHeight="1">
      <c r="B8" s="130" t="n"/>
      <c r="C8" s="130" t="n"/>
      <c r="D8" s="130" t="n"/>
      <c r="E8" s="130" t="n"/>
      <c r="F8" s="130" t="n"/>
      <c r="G8" s="133" t="n"/>
    </row>
    <row r="9" ht="60" customHeight="1">
      <c r="B9" s="130" t="n"/>
      <c r="C9" s="130" t="n"/>
      <c r="D9" s="130" t="n"/>
      <c r="E9" s="130" t="n"/>
      <c r="F9" s="130" t="n"/>
      <c r="G9" s="133" t="n"/>
    </row>
    <row r="10" ht="60" customHeight="1">
      <c r="B10" s="130" t="n"/>
      <c r="C10" s="130" t="n"/>
      <c r="D10" s="130" t="n"/>
      <c r="E10" s="130" t="n"/>
      <c r="F10" s="130" t="n"/>
      <c r="G10" s="134" t="n"/>
    </row>
  </sheetData>
  <autoFilter ref="B3:G10"/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2026-06-05T08:27:42Z</dcterms:created>
  <dcterms:modified xmlns:dcterms="http://purl.org/dc/terms/" xmlns:xsi="http://www.w3.org/2001/XMLSchema-instance" xsi:type="dcterms:W3CDTF">2026-09-11T10:25:24Z</dcterms:modified>
  <cp:lastModifiedBy>Nikolai Tyukhay</cp:lastModifiedBy>
</cp:coreProperties>
</file>